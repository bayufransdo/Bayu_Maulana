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70D8296\Documents\Point of Change 2022\New folder\Template Point of Change\"/>
    </mc:Choice>
  </mc:AlternateContent>
  <xr:revisionPtr revIDLastSave="0" documentId="13_ncr:1_{5C2FA3AA-31B3-45D5-B243-93F8529693C5}" xr6:coauthVersionLast="47" xr6:coauthVersionMax="47" xr10:uidLastSave="{00000000-0000-0000-0000-000000000000}"/>
  <bookViews>
    <workbookView xWindow="-120" yWindow="-120" windowWidth="19440" windowHeight="15000" tabRatio="735" xr2:uid="{79EFD8A5-4F41-4C3B-9F3C-D4844022BA89}"/>
  </bookViews>
  <sheets>
    <sheet name="DataLogin" sheetId="3" r:id="rId1"/>
    <sheet name="DataReport" sheetId="2" r:id="rId2"/>
    <sheet name="Summary (Open)" sheetId="5" r:id="rId3"/>
    <sheet name="Charts" sheetId="16" r:id="rId4"/>
    <sheet name="Sortir" sheetId="9" r:id="rId5"/>
    <sheet name="ChangeContent" sheetId="8" r:id="rId6"/>
  </sheets>
  <definedNames>
    <definedName name="_xlnm._FilterDatabase" localSheetId="3" hidden="1">Charts!$C$3:$C$32</definedName>
    <definedName name="_xlnm._FilterDatabase" localSheetId="1" hidden="1">DataReport!$H$70:$H$102</definedName>
    <definedName name="bulan">Charts!$L$16:$L$27</definedName>
    <definedName name="Ganjil">Charts!$B$2:$C$33</definedName>
    <definedName name="Genap">Charts!$B$2:$C$32</definedName>
    <definedName name="GenapFebruary">Charts!$B$2:$C$30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" i="16" l="1"/>
  <c r="R5" i="16"/>
  <c r="R6" i="16"/>
  <c r="R7" i="16"/>
  <c r="R3" i="16"/>
  <c r="AP33" i="16"/>
  <c r="AO33" i="16"/>
  <c r="AL33" i="16"/>
  <c r="AK33" i="16"/>
  <c r="AH33" i="16"/>
  <c r="AG33" i="16"/>
  <c r="AD33" i="16"/>
  <c r="AC33" i="16"/>
  <c r="Y33" i="16"/>
  <c r="Z33" i="16"/>
  <c r="C33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O4" i="16"/>
  <c r="AO5" i="16"/>
  <c r="AO6" i="16"/>
  <c r="AO7" i="16"/>
  <c r="AO8" i="16"/>
  <c r="AO9" i="16"/>
  <c r="AO10" i="16"/>
  <c r="AO11" i="16"/>
  <c r="AO12" i="16"/>
  <c r="AO13" i="16"/>
  <c r="AO14" i="16"/>
  <c r="AO15" i="16"/>
  <c r="AO16" i="16"/>
  <c r="AO17" i="16"/>
  <c r="AO18" i="16"/>
  <c r="AO19" i="16"/>
  <c r="AO20" i="16"/>
  <c r="AO21" i="16"/>
  <c r="AO22" i="16"/>
  <c r="AO23" i="16"/>
  <c r="AO24" i="16"/>
  <c r="AO25" i="16"/>
  <c r="AO26" i="16"/>
  <c r="AO27" i="16"/>
  <c r="AO28" i="16"/>
  <c r="AO29" i="16"/>
  <c r="AO30" i="16"/>
  <c r="AO31" i="16"/>
  <c r="AO32" i="16"/>
  <c r="AL4" i="16"/>
  <c r="AL5" i="16"/>
  <c r="AL6" i="16"/>
  <c r="AL7" i="16"/>
  <c r="AL8" i="16"/>
  <c r="AL9" i="16"/>
  <c r="AL10" i="16"/>
  <c r="AL11" i="16"/>
  <c r="AL12" i="16"/>
  <c r="AL13" i="16"/>
  <c r="AL14" i="16"/>
  <c r="AL15" i="16"/>
  <c r="AL16" i="16"/>
  <c r="AL17" i="16"/>
  <c r="AL18" i="16"/>
  <c r="AL19" i="16"/>
  <c r="AL20" i="16"/>
  <c r="AL21" i="16"/>
  <c r="AL22" i="16"/>
  <c r="AL23" i="16"/>
  <c r="AL24" i="16"/>
  <c r="AL25" i="16"/>
  <c r="AL26" i="16"/>
  <c r="AL27" i="16"/>
  <c r="AL28" i="16"/>
  <c r="AL29" i="16"/>
  <c r="AL30" i="16"/>
  <c r="AL31" i="16"/>
  <c r="AL32" i="16"/>
  <c r="AK4" i="16"/>
  <c r="AK5" i="16"/>
  <c r="AK6" i="16"/>
  <c r="AK7" i="16"/>
  <c r="AK8" i="16"/>
  <c r="AK9" i="16"/>
  <c r="AK10" i="16"/>
  <c r="AK11" i="16"/>
  <c r="AK12" i="16"/>
  <c r="AK13" i="16"/>
  <c r="AK14" i="16"/>
  <c r="AK15" i="16"/>
  <c r="AK16" i="16"/>
  <c r="AK17" i="16"/>
  <c r="AK18" i="16"/>
  <c r="AK19" i="16"/>
  <c r="AK20" i="16"/>
  <c r="AK21" i="16"/>
  <c r="AK22" i="16"/>
  <c r="AK23" i="16"/>
  <c r="AK24" i="16"/>
  <c r="AK25" i="16"/>
  <c r="AK26" i="16"/>
  <c r="AK27" i="16"/>
  <c r="AK28" i="16"/>
  <c r="AK29" i="16"/>
  <c r="AK30" i="16"/>
  <c r="AK31" i="16"/>
  <c r="AK32" i="16"/>
  <c r="AH4" i="16"/>
  <c r="AH5" i="16"/>
  <c r="AH6" i="16"/>
  <c r="AH7" i="16"/>
  <c r="AH8" i="16"/>
  <c r="AH9" i="16"/>
  <c r="AH10" i="16"/>
  <c r="AH11" i="16"/>
  <c r="AH12" i="16"/>
  <c r="AH13" i="16"/>
  <c r="AH14" i="16"/>
  <c r="AH15" i="16"/>
  <c r="AH16" i="16"/>
  <c r="AH17" i="16"/>
  <c r="AH18" i="16"/>
  <c r="AH19" i="16"/>
  <c r="AH20" i="16"/>
  <c r="AH21" i="16"/>
  <c r="AH22" i="16"/>
  <c r="AH23" i="16"/>
  <c r="AH24" i="16"/>
  <c r="AH25" i="16"/>
  <c r="AH26" i="16"/>
  <c r="AH27" i="16"/>
  <c r="AH28" i="16"/>
  <c r="AH29" i="16"/>
  <c r="AH30" i="16"/>
  <c r="AH31" i="16"/>
  <c r="AH32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G25" i="16"/>
  <c r="AG26" i="16"/>
  <c r="AG27" i="16"/>
  <c r="AG28" i="16"/>
  <c r="AG29" i="16"/>
  <c r="AG30" i="16"/>
  <c r="AG31" i="16"/>
  <c r="AG32" i="16"/>
  <c r="AD4" i="16"/>
  <c r="AD5" i="16"/>
  <c r="AD6" i="16"/>
  <c r="AD7" i="16"/>
  <c r="AD8" i="16"/>
  <c r="AD9" i="16"/>
  <c r="AD10" i="16"/>
  <c r="AD11" i="16"/>
  <c r="AD12" i="16"/>
  <c r="AD13" i="16"/>
  <c r="AD14" i="16"/>
  <c r="AD15" i="16"/>
  <c r="AD16" i="16"/>
  <c r="AD17" i="16"/>
  <c r="AD18" i="16"/>
  <c r="AD19" i="16"/>
  <c r="AD20" i="16"/>
  <c r="AD21" i="16"/>
  <c r="AD22" i="16"/>
  <c r="AD23" i="16"/>
  <c r="AD24" i="16"/>
  <c r="AD25" i="16"/>
  <c r="AD26" i="16"/>
  <c r="AD27" i="16"/>
  <c r="AD28" i="16"/>
  <c r="AD29" i="16"/>
  <c r="AD30" i="16"/>
  <c r="AD31" i="16"/>
  <c r="AD32" i="16"/>
  <c r="AC4" i="16"/>
  <c r="AC5" i="16"/>
  <c r="AC6" i="16"/>
  <c r="AC7" i="16"/>
  <c r="AC8" i="16"/>
  <c r="AC9" i="16"/>
  <c r="AC10" i="16"/>
  <c r="AC11" i="16"/>
  <c r="AC12" i="16"/>
  <c r="AC13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U4" i="16"/>
  <c r="U5" i="16"/>
  <c r="U6" i="16"/>
  <c r="U7" i="16"/>
  <c r="F4" i="16"/>
  <c r="F5" i="16"/>
  <c r="F6" i="16"/>
  <c r="F7" i="16"/>
  <c r="V4" i="16"/>
  <c r="V5" i="16"/>
  <c r="V6" i="16"/>
  <c r="V7" i="16"/>
  <c r="T4" i="16"/>
  <c r="T5" i="16"/>
  <c r="T6" i="16"/>
  <c r="T7" i="16"/>
  <c r="S4" i="16"/>
  <c r="S5" i="16"/>
  <c r="S6" i="16"/>
  <c r="S7" i="16"/>
  <c r="O4" i="16"/>
  <c r="O5" i="16"/>
  <c r="O6" i="16"/>
  <c r="O7" i="16"/>
  <c r="O8" i="16"/>
  <c r="L4" i="16"/>
  <c r="L5" i="16"/>
  <c r="L6" i="16"/>
  <c r="L7" i="16"/>
  <c r="I4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I3" i="16"/>
  <c r="F3" i="16"/>
  <c r="AP3" i="16" l="1"/>
  <c r="AO3" i="16"/>
  <c r="AL3" i="16"/>
  <c r="AK3" i="16"/>
  <c r="AH3" i="16"/>
  <c r="AG3" i="16"/>
  <c r="AD3" i="16"/>
  <c r="AC3" i="16"/>
  <c r="Z3" i="16"/>
  <c r="Y3" i="16"/>
  <c r="V3" i="16" l="1"/>
  <c r="U3" i="16"/>
  <c r="T3" i="16"/>
  <c r="S3" i="16"/>
  <c r="L3" i="16" l="1"/>
  <c r="O3" i="16"/>
  <c r="C3" i="16"/>
</calcChain>
</file>

<file path=xl/sharedStrings.xml><?xml version="1.0" encoding="utf-8"?>
<sst xmlns="http://schemas.openxmlformats.org/spreadsheetml/2006/main" count="594" uniqueCount="341">
  <si>
    <t>PURWANTO</t>
  </si>
  <si>
    <t>NECHYA EINSFRIANAS</t>
  </si>
  <si>
    <t>YAN ADIATMA</t>
  </si>
  <si>
    <t>IKA IRAWATI</t>
  </si>
  <si>
    <t>TIOMASA SIBURIAN</t>
  </si>
  <si>
    <t>FAHRIZAL</t>
  </si>
  <si>
    <t>ANNI TAMBA</t>
  </si>
  <si>
    <t>JHON APRIL SAPUTRA</t>
  </si>
  <si>
    <t>LAURENSIUS SINENDRA MANIK</t>
  </si>
  <si>
    <t>ASIMA ROHANI SIRAIT</t>
  </si>
  <si>
    <t>MASPERA SIMBOLON</t>
  </si>
  <si>
    <t>HERBART GADING</t>
  </si>
  <si>
    <t>LINDA ESRA GINTING</t>
  </si>
  <si>
    <t>ZERLINA HARAHAP</t>
  </si>
  <si>
    <t>002024</t>
  </si>
  <si>
    <t>NAME</t>
  </si>
  <si>
    <t>EE NO</t>
  </si>
  <si>
    <t>LEADER</t>
  </si>
  <si>
    <t>WIDIYAWATI</t>
  </si>
  <si>
    <t>DAHLIA MELIANA SIANTURI</t>
  </si>
  <si>
    <t>EVA ROSDIANA DEWI</t>
  </si>
  <si>
    <t>UMI SAMSIATIN</t>
  </si>
  <si>
    <t>RENTA LUMBANSIANTAR</t>
  </si>
  <si>
    <t>LUSVIKA SIBUEA</t>
  </si>
  <si>
    <t>CHANDRA ZEBUA</t>
  </si>
  <si>
    <t>MELDA GUSTINI</t>
  </si>
  <si>
    <t>SUCI ARDILLA MONICH</t>
  </si>
  <si>
    <t>INDAH SRI MARYANTI</t>
  </si>
  <si>
    <t>YENNI RATNASARI PURBA</t>
  </si>
  <si>
    <t>ANNIS KURNIA SARI</t>
  </si>
  <si>
    <t>RINI FEBRIANTI</t>
  </si>
  <si>
    <t>NURBAYA MANURUNG</t>
  </si>
  <si>
    <t>MIZANTI</t>
  </si>
  <si>
    <t>IRWANDI</t>
  </si>
  <si>
    <t>HERLINA WITA FAULING SIMANDALAHI</t>
  </si>
  <si>
    <t>ALDILA MILENIA SAPUTRI</t>
  </si>
  <si>
    <t>NIZA INDRIANI</t>
  </si>
  <si>
    <t>WISHCHANGE SILALAHI</t>
  </si>
  <si>
    <t>ELENTINA SITUMORANG</t>
  </si>
  <si>
    <t>GALIF FAJLI</t>
  </si>
  <si>
    <t>ALDINO ADE SAPUTRA</t>
  </si>
  <si>
    <t>FUAD MAULANA</t>
  </si>
  <si>
    <t>RIVAI RAHMANSYAH</t>
  </si>
  <si>
    <t>INTAN SEPTA VIOLA</t>
  </si>
  <si>
    <t>KHAIRUL NAJIB</t>
  </si>
  <si>
    <t>SEDIMA HASIBUAN</t>
  </si>
  <si>
    <t>AULIA ASIH KHAIRIAH</t>
  </si>
  <si>
    <t>DELISMA SILAEN</t>
  </si>
  <si>
    <t>TINUR SIMBOLON</t>
  </si>
  <si>
    <t>RISMA EMMANUELLY  SITUMORANG</t>
  </si>
  <si>
    <t>SITI YUMARLIN</t>
  </si>
  <si>
    <t>MANNA WASSALWA</t>
  </si>
  <si>
    <t>SISRA MAHARANI</t>
  </si>
  <si>
    <t>RAMADANI SAPITRI</t>
  </si>
  <si>
    <t>FADHILLAH AGUSTIA</t>
  </si>
  <si>
    <t>TIURMA SIHOMBING</t>
  </si>
  <si>
    <t>LAMRIA HASIOLAN SIRINGORINGO</t>
  </si>
  <si>
    <t>HALIMATUS SA`DIAH</t>
  </si>
  <si>
    <t>ROSALINDA MARISA</t>
  </si>
  <si>
    <t>HERA L. NAINGGOLAN</t>
  </si>
  <si>
    <t>SIERA NEVADA</t>
  </si>
  <si>
    <t>ALYA PRATIWI</t>
  </si>
  <si>
    <t>IIS SANTIKA SANTUNG</t>
  </si>
  <si>
    <t>ANGGIOVANI FLORENCIA SIALLAGAN</t>
  </si>
  <si>
    <t>DEWI FATMAWATI</t>
  </si>
  <si>
    <t>FEGA YUSI KIBA SIHOMBING</t>
  </si>
  <si>
    <t>SARLIWATI PANJAITAN</t>
  </si>
  <si>
    <t>SUPRIONO</t>
  </si>
  <si>
    <t>002112</t>
  </si>
  <si>
    <t>ARIFIN PUTRA</t>
  </si>
  <si>
    <t>ANTON SIREGAR</t>
  </si>
  <si>
    <t>PIKI MAYUDI</t>
  </si>
  <si>
    <t>JHON WESLEY BANJARNAHOR</t>
  </si>
  <si>
    <t>RONI SANJAYA</t>
  </si>
  <si>
    <t>IBRAHIM</t>
  </si>
  <si>
    <t>ADEK SUPRIYADI</t>
  </si>
  <si>
    <t>RUDI ANGGIAT MANGIHUT SIJABAT</t>
  </si>
  <si>
    <t>HEPPY  SEVENDRA</t>
  </si>
  <si>
    <t>GR NUKE HERDIANTO</t>
  </si>
  <si>
    <t>HAMONANGAN SINAGA</t>
  </si>
  <si>
    <t>BANGBANG SUPRIYATNO</t>
  </si>
  <si>
    <t>MARWANTO</t>
  </si>
  <si>
    <t>MOHAMAD IRWAN FATACH</t>
  </si>
  <si>
    <t>UJI PRAMONO</t>
  </si>
  <si>
    <t>ALVA FEBRIYAN HAQIQI</t>
  </si>
  <si>
    <t>RUDIANTO PURBA</t>
  </si>
  <si>
    <t>YONDRI FAIZAL</t>
  </si>
  <si>
    <t>AGUS MARGONO</t>
  </si>
  <si>
    <t>PASTI AMAN DAMANIK</t>
  </si>
  <si>
    <t>BIMANANTA SEPTIAN NARDI</t>
  </si>
  <si>
    <t>EFRAYIN SIREGAR</t>
  </si>
  <si>
    <t>JUFRI MAHENDRA</t>
  </si>
  <si>
    <t>RONI FAZLI</t>
  </si>
  <si>
    <t>LUSMAWATI PARHUSIP</t>
  </si>
  <si>
    <t>DANNI ZULKARNAIN</t>
  </si>
  <si>
    <t>MUHAMMAD ABDUL AZIS</t>
  </si>
  <si>
    <t>DEWI PARDEDE</t>
  </si>
  <si>
    <t>DIDIK NURCAHYONO</t>
  </si>
  <si>
    <t>MUHAMMAD HOIRUL ANWAR</t>
  </si>
  <si>
    <t>PANJI SYAFRIKO</t>
  </si>
  <si>
    <t>ERLINDA</t>
  </si>
  <si>
    <t>DARWANTO</t>
  </si>
  <si>
    <t>002284</t>
  </si>
  <si>
    <t>YULI HENDRI</t>
  </si>
  <si>
    <t>MUHAMAD RIZKI</t>
  </si>
  <si>
    <t>RENALDY ARITHA</t>
  </si>
  <si>
    <t>DZULATIEF BAEHAKI</t>
  </si>
  <si>
    <t>ARIEF IRWANTO</t>
  </si>
  <si>
    <t>ABDUL ROHMAN</t>
  </si>
  <si>
    <t>WIDI HARTONO</t>
  </si>
  <si>
    <t>HARI PURNOMO</t>
  </si>
  <si>
    <t>002023</t>
  </si>
  <si>
    <t>HERU PURNIAWAN</t>
  </si>
  <si>
    <t>ZULFIKAR</t>
  </si>
  <si>
    <t>ANDANG SULISTYO</t>
  </si>
  <si>
    <t>NELLYANA SIMANJUNTAK</t>
  </si>
  <si>
    <t>RENTAULI SITIO</t>
  </si>
  <si>
    <t>CRISDIANA OKTAVIA</t>
  </si>
  <si>
    <t>LASRONA SIHOTANG</t>
  </si>
  <si>
    <t>SITI SAMA`AH</t>
  </si>
  <si>
    <t>CRISTINA BR NADEAK</t>
  </si>
  <si>
    <t>YORIZA DIRHAYATI</t>
  </si>
  <si>
    <t>FITRI RAHMAYANI</t>
  </si>
  <si>
    <t>WINDY ADRIANTO</t>
  </si>
  <si>
    <t>BUNTORA MANIK</t>
  </si>
  <si>
    <t>RONI SYAPUTRA RIDOAN ZAI</t>
  </si>
  <si>
    <t>EDI SANTOSA</t>
  </si>
  <si>
    <t>TRI YANTA</t>
  </si>
  <si>
    <t>KUKUH JATMIKO</t>
  </si>
  <si>
    <t>WINTORO</t>
  </si>
  <si>
    <t>RETNO NAPITUPULU</t>
  </si>
  <si>
    <t>BEJO DWI UTOMO</t>
  </si>
  <si>
    <t>FIBRI ARDIYANTO</t>
  </si>
  <si>
    <t>EKO SETIAWAN</t>
  </si>
  <si>
    <t>RICHAN FIRDAUS</t>
  </si>
  <si>
    <t>RACHMAT PERDANA LUBIS</t>
  </si>
  <si>
    <t>HARDIANSYAH HASIBUAN</t>
  </si>
  <si>
    <t>JOSRIZAL SIREGAR</t>
  </si>
  <si>
    <t>THEO DIRGAHAYU TAMPUBOLON</t>
  </si>
  <si>
    <t>MEMBER</t>
  </si>
  <si>
    <t>Date</t>
  </si>
  <si>
    <t>Time</t>
  </si>
  <si>
    <t>Model/Type</t>
  </si>
  <si>
    <t>Part No</t>
  </si>
  <si>
    <t>Machine Name</t>
  </si>
  <si>
    <t>5M</t>
  </si>
  <si>
    <t>Shift Pattern</t>
  </si>
  <si>
    <t>Affected Lot No</t>
  </si>
  <si>
    <t>Process</t>
  </si>
  <si>
    <t>Process no</t>
  </si>
  <si>
    <t>Machine No</t>
  </si>
  <si>
    <t>No</t>
  </si>
  <si>
    <t>EE No</t>
  </si>
  <si>
    <t>Name</t>
  </si>
  <si>
    <t>Form Size</t>
  </si>
  <si>
    <t>Last Login</t>
  </si>
  <si>
    <t>S/N</t>
  </si>
  <si>
    <t>Issued Date</t>
  </si>
  <si>
    <t>Phenonmenom (Claim Contents)</t>
  </si>
  <si>
    <t>PoC IssuedBy</t>
  </si>
  <si>
    <t>Lot No</t>
  </si>
  <si>
    <t>Treatment</t>
  </si>
  <si>
    <t>Status</t>
  </si>
  <si>
    <t>ER</t>
  </si>
  <si>
    <t>Summary Report</t>
  </si>
  <si>
    <t>Product Type : ERG(X)</t>
  </si>
  <si>
    <t>Spiralling</t>
  </si>
  <si>
    <t>man</t>
  </si>
  <si>
    <t>machine</t>
  </si>
  <si>
    <t>method</t>
  </si>
  <si>
    <t>material</t>
  </si>
  <si>
    <t>measurement</t>
  </si>
  <si>
    <t>Plan</t>
  </si>
  <si>
    <t>Unplan</t>
  </si>
  <si>
    <t xml:space="preserve"> On training (to follow schedule)</t>
  </si>
  <si>
    <t>On leave schedule ( AL, NPL,ML)</t>
  </si>
  <si>
    <t>There is support from other processes</t>
  </si>
  <si>
    <t>sudden leave</t>
  </si>
  <si>
    <t>absence (without information)</t>
  </si>
  <si>
    <t xml:space="preserve">MC (sick leave) </t>
  </si>
  <si>
    <t>hourly leave</t>
  </si>
  <si>
    <t xml:space="preserve">New machine /  turn over </t>
  </si>
  <si>
    <t xml:space="preserve">repair </t>
  </si>
  <si>
    <t xml:space="preserve">merger </t>
  </si>
  <si>
    <t>replacement of damaged spare parts</t>
  </si>
  <si>
    <t>TPM schedule</t>
  </si>
  <si>
    <t>change forming type</t>
  </si>
  <si>
    <t>Other</t>
  </si>
  <si>
    <t>For member after re-joint &amp; maternity leave</t>
  </si>
  <si>
    <t>re-fresh training only before transfer to production</t>
  </si>
  <si>
    <t>Cutter break</t>
  </si>
  <si>
    <t>cutter touch a cap</t>
  </si>
  <si>
    <t>Motor jammed</t>
  </si>
  <si>
    <t>Cutting line poor app, Sensor not function</t>
  </si>
  <si>
    <t>Cutting interruption</t>
  </si>
  <si>
    <t>Policord broken</t>
  </si>
  <si>
    <t>Electrical Fault</t>
  </si>
  <si>
    <t>Shaft chuck jammed</t>
  </si>
  <si>
    <t>Change cutter</t>
  </si>
  <si>
    <t>Change Flange</t>
  </si>
  <si>
    <t>Change procedure</t>
  </si>
  <si>
    <t>change in process conditions</t>
  </si>
  <si>
    <t>In-correct operating system flow</t>
  </si>
  <si>
    <t>Substitution of equipment / components / jig</t>
  </si>
  <si>
    <t>Repair of equipment / components / jig</t>
  </si>
  <si>
    <t>Changes to the inspection progra</t>
  </si>
  <si>
    <t>R/V Checker error</t>
  </si>
  <si>
    <t>R/V Checker totally off</t>
  </si>
  <si>
    <t>Material changes from different suppliers due to problems such as changing material colors</t>
  </si>
  <si>
    <t>find different material sizes</t>
  </si>
  <si>
    <t>Unusually happened for material color
Found material size too short or too long</t>
  </si>
  <si>
    <t>Welding</t>
  </si>
  <si>
    <t>On training (to follow schedule)</t>
  </si>
  <si>
    <t>Sudden leave</t>
  </si>
  <si>
    <t>MC (sick leave)</t>
  </si>
  <si>
    <t>New machine /  turn over</t>
  </si>
  <si>
    <t>repair</t>
  </si>
  <si>
    <t>merger</t>
  </si>
  <si>
    <t>Crossing</t>
  </si>
  <si>
    <t>Detachment</t>
  </si>
  <si>
    <t>Timing out</t>
  </si>
  <si>
    <t>Part feeder fault</t>
  </si>
  <si>
    <t>Chain broken</t>
  </si>
  <si>
    <t>Taping jammed</t>
  </si>
  <si>
    <t>Carrier disc wear &amp; tear</t>
  </si>
  <si>
    <t>Wire off centre</t>
  </si>
  <si>
    <t>Welding burr</t>
  </si>
  <si>
    <t>Wire bend</t>
  </si>
  <si>
    <t>Wire expose</t>
  </si>
  <si>
    <t>Change wire chuck</t>
  </si>
  <si>
    <t>change length wire</t>
  </si>
  <si>
    <t>change wire</t>
  </si>
  <si>
    <t>Change forming model</t>
  </si>
  <si>
    <t>Service wire chuck</t>
  </si>
  <si>
    <t>Changes to the inspection program</t>
  </si>
  <si>
    <t>Pulling Jig Error</t>
  </si>
  <si>
    <t>Finishing</t>
  </si>
  <si>
    <t>ERQ</t>
  </si>
  <si>
    <t>AN type</t>
  </si>
  <si>
    <t>Chain jammed</t>
  </si>
  <si>
    <t>printing defect</t>
  </si>
  <si>
    <t>Coating defect</t>
  </si>
  <si>
    <t xml:space="preserve">crossing </t>
  </si>
  <si>
    <t>wire bend</t>
  </si>
  <si>
    <t>color code defect</t>
  </si>
  <si>
    <t>change conveyor chain</t>
  </si>
  <si>
    <t>Setting coating speed belt.</t>
  </si>
  <si>
    <t>UV oven voltage out of range</t>
  </si>
  <si>
    <t>SPC out of control</t>
  </si>
  <si>
    <t>Equipment loose</t>
  </si>
  <si>
    <t>Wrong Material</t>
  </si>
  <si>
    <t>Wrong Part</t>
  </si>
  <si>
    <t>Wrong Label</t>
  </si>
  <si>
    <t>Material Mixture</t>
  </si>
  <si>
    <t>Heater Problem</t>
  </si>
  <si>
    <t>Motor Jammed</t>
  </si>
  <si>
    <t>Lead paint crack</t>
  </si>
  <si>
    <t>Tape open</t>
  </si>
  <si>
    <t xml:space="preserve">Substitution of equipment / components / jig. </t>
  </si>
  <si>
    <t xml:space="preserve">Repair of equipment / components / jig. </t>
  </si>
  <si>
    <t>Changes to the inspection program.</t>
  </si>
  <si>
    <t>Equipment error out of spec</t>
  </si>
  <si>
    <t xml:space="preserve">Equipment spoil </t>
  </si>
  <si>
    <t>Equipment wear &amp; tear</t>
  </si>
  <si>
    <t>find different material sizes.</t>
  </si>
  <si>
    <t xml:space="preserve">Wrong Materia, </t>
  </si>
  <si>
    <t>Forming</t>
  </si>
  <si>
    <t xml:space="preserve"> repair</t>
  </si>
  <si>
    <t>Sensor broken</t>
  </si>
  <si>
    <t>MC jammed</t>
  </si>
  <si>
    <t>Temperature error</t>
  </si>
  <si>
    <t>Tape broken</t>
  </si>
  <si>
    <t>Setting wire length</t>
  </si>
  <si>
    <t>Indication</t>
  </si>
  <si>
    <t>Sensor not function</t>
  </si>
  <si>
    <t>-</t>
  </si>
  <si>
    <t>Nothing</t>
  </si>
  <si>
    <t>Change forming only for 2SJSV (0R00) Changes</t>
  </si>
  <si>
    <t>Scrap / Reject</t>
  </si>
  <si>
    <t>On Hold</t>
  </si>
  <si>
    <t>Sorting</t>
  </si>
  <si>
    <t>Actual</t>
  </si>
  <si>
    <t>Reason</t>
  </si>
  <si>
    <t>Condition For Release</t>
  </si>
  <si>
    <t>Continue</t>
  </si>
  <si>
    <t>Unusually happened for material color Found material size too short or too long</t>
  </si>
  <si>
    <t>Change   content</t>
  </si>
  <si>
    <t>Product     Safety</t>
  </si>
  <si>
    <t>Appearance</t>
  </si>
  <si>
    <t>RAW DATA</t>
  </si>
  <si>
    <t>Safety Check</t>
  </si>
  <si>
    <t>Machine contidtion check before operation</t>
  </si>
  <si>
    <t>Training How to operate the machine</t>
  </si>
  <si>
    <t>Product Quality Check after change / repair</t>
  </si>
  <si>
    <t>QA</t>
  </si>
  <si>
    <t>n</t>
  </si>
  <si>
    <t>r</t>
  </si>
  <si>
    <t>p</t>
  </si>
  <si>
    <t>Incharge</t>
  </si>
  <si>
    <t>QA Comment</t>
  </si>
  <si>
    <t>Quality Result Confirmation After Countermeasure</t>
  </si>
  <si>
    <t>OK / NG</t>
  </si>
  <si>
    <t>AQIR NO</t>
  </si>
  <si>
    <t>Checking Item</t>
  </si>
  <si>
    <t>Forming Out</t>
  </si>
  <si>
    <t>Remark</t>
  </si>
  <si>
    <t>RAHMAT HIDAYAT</t>
  </si>
  <si>
    <t>SABAM PARNINGOTAN SIRAIT</t>
  </si>
  <si>
    <t>SEPTI NANTA NAINGGOLAN</t>
  </si>
  <si>
    <t>MASRILA SARI</t>
  </si>
  <si>
    <t>DESTRI WANY PURBA</t>
  </si>
  <si>
    <t>RAMADHANA SAPUTRA</t>
  </si>
  <si>
    <t>1S</t>
  </si>
  <si>
    <t>2S</t>
  </si>
  <si>
    <t>Coating Crack</t>
  </si>
  <si>
    <t>3S</t>
  </si>
  <si>
    <t>R / V out</t>
  </si>
  <si>
    <t>12S</t>
  </si>
  <si>
    <t>PoC</t>
  </si>
  <si>
    <t>model / type</t>
  </si>
  <si>
    <t>5S</t>
  </si>
  <si>
    <t>5T</t>
  </si>
  <si>
    <t>Count</t>
  </si>
  <si>
    <t>Man</t>
  </si>
  <si>
    <t>Machine</t>
  </si>
  <si>
    <t>Method</t>
  </si>
  <si>
    <t>Measurement</t>
  </si>
  <si>
    <t>Material</t>
  </si>
  <si>
    <t>Month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</si>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</sst>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mmmm\ /\ yy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6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</cellStyleXfs>
  <cellXfs count="114">
    <xf numFmtId="0" fontId="0" fillId="0" borderId="0" xfId="0"/>
    <xf numFmtId="0" fontId="3" fillId="0" borderId="1" xfId="0" applyFont="1" applyBorder="1" applyAlignment="1">
      <alignment horizontal="left" vertical="center"/>
    </xf>
    <xf numFmtId="164" fontId="3" fillId="0" borderId="1" xfId="0" quotePrefix="1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/>
    </xf>
    <xf numFmtId="14" fontId="0" fillId="2" borderId="1" xfId="1" applyNumberFormat="1" applyFont="1" applyBorder="1" applyAlignment="1">
      <alignment horizontal="center" vertical="center"/>
    </xf>
    <xf numFmtId="0" fontId="1" fillId="2" borderId="1" xfId="1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4" fillId="0" borderId="0" xfId="0" applyFont="1" applyAlignment="1"/>
    <xf numFmtId="21" fontId="0" fillId="0" borderId="0" xfId="0" applyNumberFormat="1"/>
    <xf numFmtId="0" fontId="3" fillId="4" borderId="1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/>
    <xf numFmtId="0" fontId="3" fillId="4" borderId="6" xfId="0" applyFont="1" applyFill="1" applyBorder="1" applyAlignment="1">
      <alignment horizontal="center"/>
    </xf>
    <xf numFmtId="0" fontId="0" fillId="0" borderId="6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9" xfId="0" applyBorder="1" applyAlignment="1">
      <alignment wrapText="1"/>
    </xf>
    <xf numFmtId="0" fontId="0" fillId="0" borderId="1" xfId="0" applyBorder="1" applyAlignment="1"/>
    <xf numFmtId="0" fontId="0" fillId="0" borderId="10" xfId="0" applyBorder="1" applyAlignment="1">
      <alignment wrapText="1"/>
    </xf>
    <xf numFmtId="0" fontId="0" fillId="0" borderId="5" xfId="0" applyBorder="1"/>
    <xf numFmtId="0" fontId="0" fillId="0" borderId="12" xfId="0" applyBorder="1"/>
    <xf numFmtId="0" fontId="0" fillId="0" borderId="6" xfId="0" applyBorder="1" applyAlignment="1"/>
    <xf numFmtId="0" fontId="0" fillId="0" borderId="9" xfId="0" applyBorder="1" applyAlignment="1">
      <alignment horizontal="fill" wrapText="1"/>
    </xf>
    <xf numFmtId="0" fontId="0" fillId="0" borderId="10" xfId="0" applyBorder="1" applyAlignment="1">
      <alignment horizontal="fill" wrapText="1"/>
    </xf>
    <xf numFmtId="0" fontId="0" fillId="0" borderId="10" xfId="0" applyFill="1" applyBorder="1" applyAlignment="1">
      <alignment horizontal="fill" wrapText="1"/>
    </xf>
    <xf numFmtId="0" fontId="0" fillId="0" borderId="12" xfId="0" applyFill="1" applyBorder="1" applyAlignment="1">
      <alignment horizontal="fill" wrapText="1"/>
    </xf>
    <xf numFmtId="0" fontId="0" fillId="0" borderId="9" xfId="0" applyBorder="1" applyAlignment="1">
      <alignment horizontal="fill"/>
    </xf>
    <xf numFmtId="0" fontId="0" fillId="0" borderId="10" xfId="0" applyBorder="1" applyAlignment="1">
      <alignment horizontal="fill"/>
    </xf>
    <xf numFmtId="0" fontId="0" fillId="0" borderId="12" xfId="0" applyBorder="1" applyAlignment="1">
      <alignment horizontal="fill"/>
    </xf>
    <xf numFmtId="0" fontId="0" fillId="0" borderId="10" xfId="0" quotePrefix="1" applyBorder="1" applyAlignment="1">
      <alignment horizontal="fill"/>
    </xf>
    <xf numFmtId="0" fontId="0" fillId="0" borderId="10" xfId="0" applyFill="1" applyBorder="1" applyAlignment="1">
      <alignment horizontal="fill"/>
    </xf>
    <xf numFmtId="0" fontId="0" fillId="0" borderId="12" xfId="0" applyFill="1" applyBorder="1" applyAlignment="1">
      <alignment horizontal="fill"/>
    </xf>
    <xf numFmtId="0" fontId="0" fillId="0" borderId="9" xfId="0" quotePrefix="1" applyBorder="1" applyAlignment="1">
      <alignment horizontal="fill"/>
    </xf>
    <xf numFmtId="0" fontId="0" fillId="0" borderId="4" xfId="0" applyBorder="1" applyAlignment="1">
      <alignment horizontal="fill"/>
    </xf>
    <xf numFmtId="0" fontId="0" fillId="0" borderId="0" xfId="0" applyAlignment="1">
      <alignment horizontal="fill"/>
    </xf>
    <xf numFmtId="0" fontId="0" fillId="0" borderId="10" xfId="0" applyBorder="1" applyAlignment="1">
      <alignment horizontal="justify"/>
    </xf>
    <xf numFmtId="0" fontId="0" fillId="0" borderId="10" xfId="0" quotePrefix="1" applyBorder="1" applyAlignment="1">
      <alignment horizontal="fill" vertical="justify"/>
    </xf>
    <xf numFmtId="0" fontId="0" fillId="0" borderId="10" xfId="0" applyBorder="1" applyAlignment="1">
      <alignment horizontal="fill" vertical="justify"/>
    </xf>
    <xf numFmtId="0" fontId="6" fillId="0" borderId="0" xfId="0" applyFont="1"/>
    <xf numFmtId="0" fontId="1" fillId="5" borderId="1" xfId="3" applyBorder="1"/>
    <xf numFmtId="0" fontId="0" fillId="0" borderId="0" xfId="0" applyAlignment="1">
      <alignment wrapText="1"/>
    </xf>
    <xf numFmtId="0" fontId="0" fillId="0" borderId="0" xfId="0" applyAlignment="1"/>
    <xf numFmtId="165" fontId="4" fillId="0" borderId="0" xfId="0" applyNumberFormat="1" applyFont="1"/>
    <xf numFmtId="14" fontId="0" fillId="0" borderId="0" xfId="0" applyNumberFormat="1" applyAlignment="1"/>
    <xf numFmtId="0" fontId="7" fillId="11" borderId="1" xfId="4" applyBorder="1" applyAlignment="1">
      <alignment horizontal="center" vertical="center"/>
    </xf>
    <xf numFmtId="164" fontId="7" fillId="11" borderId="1" xfId="4" applyNumberFormat="1" applyBorder="1" applyAlignment="1">
      <alignment horizontal="center" vertical="center"/>
    </xf>
    <xf numFmtId="22" fontId="0" fillId="0" borderId="0" xfId="0" applyNumberFormat="1"/>
    <xf numFmtId="18" fontId="0" fillId="0" borderId="0" xfId="0" applyNumberFormat="1"/>
    <xf numFmtId="0" fontId="0" fillId="0" borderId="0" xfId="0" applyProtection="1"/>
    <xf numFmtId="0" fontId="7" fillId="11" borderId="1" xfId="4" applyBorder="1" applyAlignment="1">
      <alignment horizontal="center" vertical="center" wrapText="1"/>
    </xf>
    <xf numFmtId="0" fontId="7" fillId="12" borderId="1" xfId="5" applyBorder="1"/>
    <xf numFmtId="0" fontId="0" fillId="0" borderId="1" xfId="0" applyBorder="1" applyAlignment="1">
      <alignment horizontal="center"/>
    </xf>
    <xf numFmtId="14" fontId="0" fillId="0" borderId="4" xfId="0" applyNumberFormat="1" applyBorder="1"/>
    <xf numFmtId="16" fontId="0" fillId="0" borderId="0" xfId="0" applyNumberFormat="1"/>
    <xf numFmtId="0" fontId="0" fillId="0" borderId="0" xfId="0" applyNumberFormat="1"/>
    <xf numFmtId="16" fontId="7" fillId="11" borderId="1" xfId="4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" fontId="7" fillId="11" borderId="1" xfId="4" applyNumberFormat="1" applyBorder="1" applyAlignment="1">
      <alignment horizontal="center" vertical="center"/>
    </xf>
    <xf numFmtId="0" fontId="0" fillId="0" borderId="0" xfId="0" applyFont="1"/>
    <xf numFmtId="0" fontId="0" fillId="0" borderId="0" xfId="0" quotePrefix="1" applyNumberFormat="1"/>
    <xf numFmtId="0" fontId="7" fillId="11" borderId="1" xfId="4" applyBorder="1"/>
    <xf numFmtId="0" fontId="7" fillId="11" borderId="1" xfId="4" applyBorder="1" applyAlignment="1">
      <alignment vertical="center"/>
    </xf>
    <xf numFmtId="16" fontId="7" fillId="11" borderId="1" xfId="4" applyNumberFormat="1" applyBorder="1"/>
    <xf numFmtId="0" fontId="7" fillId="11" borderId="1" xfId="4" applyNumberFormat="1" applyBorder="1"/>
    <xf numFmtId="15" fontId="0" fillId="0" borderId="0" xfId="0" applyNumberFormat="1" applyAlignment="1"/>
    <xf numFmtId="15" fontId="0" fillId="0" borderId="0" xfId="0" applyNumberFormat="1"/>
    <xf numFmtId="0" fontId="7" fillId="0" borderId="6" xfId="0" applyFont="1" applyBorder="1"/>
    <xf numFmtId="0" fontId="7" fillId="0" borderId="4" xfId="0" applyFont="1" applyBorder="1"/>
    <xf numFmtId="0" fontId="7" fillId="0" borderId="5" xfId="0" applyFont="1" applyBorder="1"/>
    <xf numFmtId="0" fontId="2" fillId="3" borderId="1" xfId="2" applyFont="1" applyBorder="1" applyAlignment="1">
      <alignment horizontal="center"/>
    </xf>
    <xf numFmtId="0" fontId="1" fillId="3" borderId="1" xfId="2" applyBorder="1" applyAlignment="1">
      <alignment horizontal="center"/>
    </xf>
    <xf numFmtId="0" fontId="2" fillId="3" borderId="2" xfId="2" applyFont="1" applyBorder="1" applyAlignment="1">
      <alignment horizontal="center" vertical="center"/>
    </xf>
    <xf numFmtId="0" fontId="1" fillId="3" borderId="3" xfId="2" applyBorder="1" applyAlignment="1">
      <alignment horizontal="center" vertical="center"/>
    </xf>
    <xf numFmtId="0" fontId="7" fillId="12" borderId="1" xfId="5" applyBorder="1" applyAlignment="1">
      <alignment horizontal="center"/>
    </xf>
    <xf numFmtId="0" fontId="7" fillId="12" borderId="14" xfId="5" applyBorder="1" applyAlignment="1">
      <alignment horizontal="center"/>
    </xf>
    <xf numFmtId="0" fontId="7" fillId="12" borderId="13" xfId="5" applyBorder="1" applyAlignment="1">
      <alignment horizontal="center"/>
    </xf>
    <xf numFmtId="0" fontId="7" fillId="12" borderId="12" xfId="5" applyBorder="1" applyAlignment="1">
      <alignment horizontal="center"/>
    </xf>
    <xf numFmtId="0" fontId="7" fillId="12" borderId="2" xfId="5" applyBorder="1" applyAlignment="1">
      <alignment horizontal="center"/>
    </xf>
    <xf numFmtId="0" fontId="7" fillId="12" borderId="11" xfId="5" applyBorder="1" applyAlignment="1">
      <alignment horizontal="center"/>
    </xf>
    <xf numFmtId="0" fontId="7" fillId="12" borderId="3" xfId="5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5" borderId="1" xfId="3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0" borderId="8" xfId="0" applyFill="1" applyBorder="1" applyAlignment="1">
      <alignment horizontal="center"/>
    </xf>
  </cellXfs>
  <cellStyles count="6">
    <cellStyle name="20% - Accent2" xfId="1" builtinId="34"/>
    <cellStyle name="60% - Accent2" xfId="2" builtinId="36"/>
    <cellStyle name="60% - Accent3" xfId="3" builtinId="40"/>
    <cellStyle name="Accent1" xfId="4" builtinId="29"/>
    <cellStyle name="Accent3" xfId="5" builtinId="37"/>
    <cellStyle name="Normal" xfId="0" builtinId="0"/>
  </cellStyles>
  <dxfs count="0"/>
  <tableStyles count="0" defaultTableStyle="TableStyleMedium2" defaultPivotStyle="PivotStyleLight16"/>
  <colors>
    <mruColors>
      <color rgb="FFC0504D"/>
      <color rgb="FF4F81BD"/>
      <color rgb="FFFF0000"/>
      <color rgb="FFF79646"/>
      <color rgb="FFF79657"/>
      <color rgb="FF9BBB59"/>
      <color rgb="FF0000FF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Total PoC September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772070340928358E-2"/>
          <c:y val="0.12223884514435696"/>
          <c:w val="0.92079136437667397"/>
          <c:h val="0.834801399825021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Charts!$C$2</c:f>
              <c:strCache>
                <c:ptCount val="1"/>
                <c:pt idx="0">
                  <c:v>PoC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54-4B9D-9669-BECD38EB68D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54-4B9D-9669-BECD38EB68D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54-4B9D-9669-BECD38EB68D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54-4B9D-9669-BECD38EB68DF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F54-4B9D-9669-BECD38EB68DF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54-4B9D-9669-BECD38EB68DF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54-4B9D-9669-BECD38EB68DF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54-4B9D-9669-BECD38EB68DF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54-4B9D-9669-BECD38EB68DF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F54-4B9D-9669-BECD38EB68DF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54-4B9D-9669-BECD38EB68DF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F54-4B9D-9669-BECD38EB68DF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F54-4B9D-9669-BECD38EB68DF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F54-4B9D-9669-BECD38EB68DF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8F54-4B9D-9669-BECD38EB68D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F54-4B9D-9669-BECD38EB68D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F54-4B9D-9669-BECD38EB68D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F54-4B9D-9669-BECD38EB68DF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F54-4B9D-9669-BECD38EB68DF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F54-4B9D-9669-BECD38EB68DF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F54-4B9D-9669-BECD38EB68DF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F54-4B9D-9669-BECD38EB68DF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F54-4B9D-9669-BECD38EB68DF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F54-4B9D-9669-BECD38EB68DF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F54-4B9D-9669-BECD38EB68DF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F54-4B9D-9669-BECD38EB68DF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F54-4B9D-9669-BECD38EB68DF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F54-4B9D-9669-BECD38EB68DF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F54-4B9D-9669-BECD38EB68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Charts!$C$3:$C$32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CE5-4B70-81C3-EF5D57EA91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27"/>
        <c:axId val="1847706656"/>
        <c:axId val="1847704160"/>
      </c:barChart>
      <c:catAx>
        <c:axId val="184770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704160"/>
        <c:crosses val="autoZero"/>
        <c:auto val="1"/>
        <c:lblAlgn val="ctr"/>
        <c:lblOffset val="100"/>
        <c:noMultiLvlLbl val="1"/>
      </c:catAx>
      <c:valAx>
        <c:axId val="1847704160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/>
                  <a:t>No.</a:t>
                </a:r>
                <a:r>
                  <a:rPr lang="en-US" sz="1400" b="0" baseline="0"/>
                  <a:t> of PoC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1.243656528239772E-2"/>
              <c:y val="0.480463546223388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70665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Total by Model /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335457932052756E-2"/>
          <c:y val="0.12410425780110819"/>
          <c:w val="0.88503828264664819"/>
          <c:h val="0.81805672207640712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Charts!$O$2</c:f>
              <c:strCache>
                <c:ptCount val="1"/>
                <c:pt idx="0">
                  <c:v>PoC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38-4E45-AD4E-5F7B322AFB9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438-4E45-AD4E-5F7B322AFB9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438-4E45-AD4E-5F7B322AFB9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38-4E45-AD4E-5F7B322AFB9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438-4E45-AD4E-5F7B322AFB9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438-4E45-AD4E-5F7B322AFB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Charts!$N$3:$N$8</c:f>
              <c:strCache>
                <c:ptCount val="6"/>
                <c:pt idx="0">
                  <c:v>1S</c:v>
                </c:pt>
                <c:pt idx="1">
                  <c:v>2S</c:v>
                </c:pt>
                <c:pt idx="2">
                  <c:v>3S</c:v>
                </c:pt>
                <c:pt idx="3">
                  <c:v>5S</c:v>
                </c:pt>
                <c:pt idx="4">
                  <c:v>12S</c:v>
                </c:pt>
                <c:pt idx="5">
                  <c:v>5T</c:v>
                </c:pt>
              </c:strCache>
            </c:strRef>
          </c:cat>
          <c:val>
            <c:numRef>
              <c:f>Charts!$O$3:$O$8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6-4A46-83B8-19E7A7DBD0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7"/>
        <c:overlap val="-27"/>
        <c:axId val="1609992704"/>
        <c:axId val="1609993952"/>
      </c:barChart>
      <c:catAx>
        <c:axId val="16099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93952"/>
        <c:crosses val="autoZero"/>
        <c:auto val="1"/>
        <c:lblAlgn val="ctr"/>
        <c:lblOffset val="100"/>
        <c:noMultiLvlLbl val="0"/>
      </c:catAx>
      <c:valAx>
        <c:axId val="160999395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/>
                  <a:t>No. of PoC</a:t>
                </a:r>
              </a:p>
            </c:rich>
          </c:tx>
          <c:layout>
            <c:manualLayout>
              <c:xMode val="edge"/>
              <c:yMode val="edge"/>
              <c:x val="2.5695128196553091E-2"/>
              <c:y val="0.43969137271438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9270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Total by Process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577226784220191E-2"/>
          <c:y val="0.11821916010498687"/>
          <c:w val="0.88543487828362788"/>
          <c:h val="0.8242127442403033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Charts!$L$2</c:f>
              <c:strCache>
                <c:ptCount val="1"/>
                <c:pt idx="0">
                  <c:v>PoC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CB-47AE-892D-E0650E9521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CB-47AE-892D-E0650E9521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CB-47AE-892D-E0650E9521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CB-47AE-892D-E0650E9521A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CB-47AE-892D-E0650E9521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Charts!$K$3:$K$7</c:f>
              <c:strCache>
                <c:ptCount val="5"/>
                <c:pt idx="0">
                  <c:v>Spiralling</c:v>
                </c:pt>
                <c:pt idx="1">
                  <c:v>Welding</c:v>
                </c:pt>
                <c:pt idx="2">
                  <c:v>Finishing</c:v>
                </c:pt>
                <c:pt idx="3">
                  <c:v>Appearance</c:v>
                </c:pt>
                <c:pt idx="4">
                  <c:v>Forming</c:v>
                </c:pt>
              </c:strCache>
            </c:strRef>
          </c:cat>
          <c:val>
            <c:numRef>
              <c:f>Charts!$L$3:$L$7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4-4448-B61A-81D3474E8D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49"/>
        <c:overlap val="-27"/>
        <c:axId val="1165967680"/>
        <c:axId val="1165968928"/>
      </c:barChart>
      <c:catAx>
        <c:axId val="116596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968928"/>
        <c:crosses val="autoZero"/>
        <c:auto val="1"/>
        <c:lblAlgn val="ctr"/>
        <c:lblOffset val="100"/>
        <c:noMultiLvlLbl val="0"/>
      </c:catAx>
      <c:valAx>
        <c:axId val="1165968928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/>
                  <a:t>No. of PoC</a:t>
                </a:r>
              </a:p>
            </c:rich>
          </c:tx>
          <c:layout>
            <c:manualLayout>
              <c:xMode val="edge"/>
              <c:yMode val="edge"/>
              <c:x val="1.9623158107802213E-2"/>
              <c:y val="0.43820122468668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96768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Total by 5M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Charts!$F$2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E55-425C-B406-3F8C3763C1F2}"/>
              </c:ext>
            </c:extLst>
          </c:dPt>
          <c:dPt>
            <c:idx val="1"/>
            <c:invertIfNegative val="0"/>
            <c:bubble3D val="0"/>
            <c:spPr>
              <a:solidFill>
                <a:srgbClr val="00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55-425C-B406-3F8C3763C1F2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55-425C-B406-3F8C3763C1F2}"/>
              </c:ext>
            </c:extLst>
          </c:dPt>
          <c:dPt>
            <c:idx val="3"/>
            <c:invertIfNegative val="0"/>
            <c:bubble3D val="0"/>
            <c:spPr>
              <a:solidFill>
                <a:srgbClr val="9BBB5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E55-425C-B406-3F8C3763C1F2}"/>
              </c:ext>
            </c:extLst>
          </c:dPt>
          <c:dPt>
            <c:idx val="4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E55-425C-B406-3F8C3763C1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Charts!$E$3:$E$7</c:f>
              <c:strCache>
                <c:ptCount val="5"/>
                <c:pt idx="0">
                  <c:v>Man</c:v>
                </c:pt>
                <c:pt idx="1">
                  <c:v>Machine</c:v>
                </c:pt>
                <c:pt idx="2">
                  <c:v>Method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Charts!$F$3:$F$7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5-425C-B406-3F8C3763C1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7"/>
        <c:overlap val="-27"/>
        <c:axId val="1402094992"/>
        <c:axId val="1402070864"/>
      </c:barChart>
      <c:catAx>
        <c:axId val="140209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070864"/>
        <c:crosses val="autoZero"/>
        <c:auto val="1"/>
        <c:lblAlgn val="ctr"/>
        <c:lblOffset val="100"/>
        <c:noMultiLvlLbl val="0"/>
      </c:catAx>
      <c:valAx>
        <c:axId val="140207086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No. of PoC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09499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PoC September 2022 by Process &amp; 5M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205515144935408E-2"/>
          <c:y val="5.0393263342082238E-2"/>
          <c:w val="0.91125243780484877"/>
          <c:h val="0.739610112681275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Charts!$Q$3</c:f>
              <c:strCache>
                <c:ptCount val="1"/>
                <c:pt idx="0">
                  <c:v>Man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Charts!$R$2:$V$2</c:f>
              <c:strCache>
                <c:ptCount val="5"/>
                <c:pt idx="0">
                  <c:v>Spiralling</c:v>
                </c:pt>
                <c:pt idx="1">
                  <c:v>Welding</c:v>
                </c:pt>
                <c:pt idx="2">
                  <c:v>Finishing</c:v>
                </c:pt>
                <c:pt idx="3">
                  <c:v>Appearance</c:v>
                </c:pt>
                <c:pt idx="4">
                  <c:v>Forming</c:v>
                </c:pt>
              </c:strCache>
            </c:strRef>
          </c:cat>
          <c:val>
            <c:numRef>
              <c:f>Charts!$R$3:$V$3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1-42B5-8AB7-C372E6B0E432}"/>
            </c:ext>
          </c:extLst>
        </c:ser>
        <c:ser>
          <c:idx val="1"/>
          <c:order val="1"/>
          <c:tx>
            <c:strRef>
              <c:f>Charts!$Q$4</c:f>
              <c:strCache>
                <c:ptCount val="1"/>
                <c:pt idx="0">
                  <c:v>Machine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strRef>
              <c:f>Charts!$R$2:$V$2</c:f>
              <c:strCache>
                <c:ptCount val="5"/>
                <c:pt idx="0">
                  <c:v>Spiralling</c:v>
                </c:pt>
                <c:pt idx="1">
                  <c:v>Welding</c:v>
                </c:pt>
                <c:pt idx="2">
                  <c:v>Finishing</c:v>
                </c:pt>
                <c:pt idx="3">
                  <c:v>Appearance</c:v>
                </c:pt>
                <c:pt idx="4">
                  <c:v>Forming</c:v>
                </c:pt>
              </c:strCache>
            </c:strRef>
          </c:cat>
          <c:val>
            <c:numRef>
              <c:f>Charts!$R$4:$V$4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11-42B5-8AB7-C372E6B0E432}"/>
            </c:ext>
          </c:extLst>
        </c:ser>
        <c:ser>
          <c:idx val="2"/>
          <c:order val="2"/>
          <c:tx>
            <c:strRef>
              <c:f>Charts!$Q$5</c:f>
              <c:strCache>
                <c:ptCount val="1"/>
                <c:pt idx="0">
                  <c:v>Method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Charts!$R$2:$V$2</c:f>
              <c:strCache>
                <c:ptCount val="5"/>
                <c:pt idx="0">
                  <c:v>Spiralling</c:v>
                </c:pt>
                <c:pt idx="1">
                  <c:v>Welding</c:v>
                </c:pt>
                <c:pt idx="2">
                  <c:v>Finishing</c:v>
                </c:pt>
                <c:pt idx="3">
                  <c:v>Appearance</c:v>
                </c:pt>
                <c:pt idx="4">
                  <c:v>Forming</c:v>
                </c:pt>
              </c:strCache>
            </c:strRef>
          </c:cat>
          <c:val>
            <c:numRef>
              <c:f>Charts!$R$5:$V$5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11-42B5-8AB7-C372E6B0E432}"/>
            </c:ext>
          </c:extLst>
        </c:ser>
        <c:ser>
          <c:idx val="3"/>
          <c:order val="3"/>
          <c:tx>
            <c:strRef>
              <c:f>Charts!$Q$6</c:f>
              <c:strCache>
                <c:ptCount val="1"/>
                <c:pt idx="0">
                  <c:v>Material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  <a:effectLst/>
          </c:spPr>
          <c:invertIfNegative val="0"/>
          <c:cat>
            <c:strRef>
              <c:f>Charts!$R$2:$V$2</c:f>
              <c:strCache>
                <c:ptCount val="5"/>
                <c:pt idx="0">
                  <c:v>Spiralling</c:v>
                </c:pt>
                <c:pt idx="1">
                  <c:v>Welding</c:v>
                </c:pt>
                <c:pt idx="2">
                  <c:v>Finishing</c:v>
                </c:pt>
                <c:pt idx="3">
                  <c:v>Appearance</c:v>
                </c:pt>
                <c:pt idx="4">
                  <c:v>Forming</c:v>
                </c:pt>
              </c:strCache>
            </c:strRef>
          </c:cat>
          <c:val>
            <c:numRef>
              <c:f>Charts!$R$6:$V$6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11-42B5-8AB7-C372E6B0E432}"/>
            </c:ext>
          </c:extLst>
        </c:ser>
        <c:ser>
          <c:idx val="4"/>
          <c:order val="4"/>
          <c:tx>
            <c:strRef>
              <c:f>Charts!$Q$7</c:f>
              <c:strCache>
                <c:ptCount val="1"/>
                <c:pt idx="0">
                  <c:v>Measurement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04-468D-B126-00672D7B38DB}"/>
              </c:ext>
            </c:extLst>
          </c:dPt>
          <c:cat>
            <c:strRef>
              <c:f>Charts!$R$2:$V$2</c:f>
              <c:strCache>
                <c:ptCount val="5"/>
                <c:pt idx="0">
                  <c:v>Spiralling</c:v>
                </c:pt>
                <c:pt idx="1">
                  <c:v>Welding</c:v>
                </c:pt>
                <c:pt idx="2">
                  <c:v>Finishing</c:v>
                </c:pt>
                <c:pt idx="3">
                  <c:v>Appearance</c:v>
                </c:pt>
                <c:pt idx="4">
                  <c:v>Forming</c:v>
                </c:pt>
              </c:strCache>
            </c:strRef>
          </c:cat>
          <c:val>
            <c:numRef>
              <c:f>Charts!$R$7:$V$7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11-42B5-8AB7-C372E6B0E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0485536"/>
        <c:axId val="750484704"/>
      </c:barChart>
      <c:catAx>
        <c:axId val="75048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484704"/>
        <c:crosses val="autoZero"/>
        <c:auto val="1"/>
        <c:lblAlgn val="ctr"/>
        <c:lblOffset val="100"/>
        <c:noMultiLvlLbl val="0"/>
      </c:catAx>
      <c:valAx>
        <c:axId val="750484704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No. of PoC</a:t>
                </a:r>
              </a:p>
            </c:rich>
          </c:tx>
          <c:layout>
            <c:manualLayout>
              <c:xMode val="edge"/>
              <c:yMode val="edge"/>
              <c:x val="2.7351785227377363E-2"/>
              <c:y val="0.368610819480898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485536"/>
        <c:crosses val="autoZero"/>
        <c:crossBetween val="between"/>
        <c:majorUnit val="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by Indication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Charts!$I$2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4F81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A07-48A2-8354-8116DFD3A681}"/>
              </c:ext>
            </c:extLst>
          </c:dPt>
          <c:dPt>
            <c:idx val="1"/>
            <c:invertIfNegative val="0"/>
            <c:bubble3D val="0"/>
            <c:spPr>
              <a:solidFill>
                <a:srgbClr val="C050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A07-48A2-8354-8116DFD3A6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Charts!$H$3:$H$4</c:f>
              <c:strCache>
                <c:ptCount val="2"/>
                <c:pt idx="0">
                  <c:v>Plan</c:v>
                </c:pt>
                <c:pt idx="1">
                  <c:v>Unplan</c:v>
                </c:pt>
              </c:strCache>
            </c:strRef>
          </c:cat>
          <c:val>
            <c:numRef>
              <c:f>Charts!$I$3:$I$4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3-4B54-9375-13D2F0300E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7"/>
        <c:axId val="601291935"/>
        <c:axId val="601288607"/>
      </c:barChart>
      <c:catAx>
        <c:axId val="601291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88607"/>
        <c:crosses val="autoZero"/>
        <c:auto val="1"/>
        <c:lblAlgn val="ctr"/>
        <c:lblOffset val="100"/>
        <c:noMultiLvlLbl val="0"/>
      </c:catAx>
      <c:valAx>
        <c:axId val="601288607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No. of PoC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91935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Charts!$Y$2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0"/>
          <c:cat>
            <c:numRef>
              <c:f>Charts!$X$3:$X$32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Charts!$Y$3:$Y$32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0-4564-8CB0-5F086368A3D5}"/>
            </c:ext>
          </c:extLst>
        </c:ser>
        <c:ser>
          <c:idx val="1"/>
          <c:order val="1"/>
          <c:tx>
            <c:strRef>
              <c:f>Charts!$Z$2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cat>
            <c:numRef>
              <c:f>Charts!$X$3:$X$32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Charts!$Z$3:$Z$32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0-4564-8CB0-5F086368A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2506239"/>
        <c:axId val="712499167"/>
      </c:barChart>
      <c:dateAx>
        <c:axId val="71250623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99167"/>
        <c:crosses val="autoZero"/>
        <c:auto val="1"/>
        <c:lblOffset val="100"/>
        <c:baseTimeUnit val="days"/>
      </c:dateAx>
      <c:valAx>
        <c:axId val="712499167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06239"/>
        <c:crosses val="autoZero"/>
        <c:crossBetween val="between"/>
        <c:majorUnit val="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Machine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Charts!$AC$2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0"/>
          <c:cat>
            <c:numRef>
              <c:f>Charts!$AB$3:$AB$32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Charts!$AC$3:$AC$32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B-4AA2-9EE2-2C14284EE28B}"/>
            </c:ext>
          </c:extLst>
        </c:ser>
        <c:ser>
          <c:idx val="1"/>
          <c:order val="1"/>
          <c:tx>
            <c:strRef>
              <c:f>Charts!$AD$2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cat>
            <c:numRef>
              <c:f>Charts!$AB$3:$AB$32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Charts!$AD$3:$AD$32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1B-4AA2-9EE2-2C14284EE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2592351"/>
        <c:axId val="712592767"/>
      </c:barChart>
      <c:dateAx>
        <c:axId val="7125923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92767"/>
        <c:crosses val="autoZero"/>
        <c:auto val="1"/>
        <c:lblOffset val="100"/>
        <c:baseTimeUnit val="days"/>
      </c:dateAx>
      <c:valAx>
        <c:axId val="712592767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92351"/>
        <c:crosses val="autoZero"/>
        <c:crossBetween val="between"/>
        <c:majorUnit val="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Method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Charts!$AG$2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0"/>
          <c:cat>
            <c:numRef>
              <c:f>Charts!$AF$3:$AF$32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Charts!$AG$3:$AG$32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BE6-B0BD-8A853CCBE7E2}"/>
            </c:ext>
          </c:extLst>
        </c:ser>
        <c:ser>
          <c:idx val="1"/>
          <c:order val="1"/>
          <c:tx>
            <c:strRef>
              <c:f>Charts!$AH$2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cat>
            <c:numRef>
              <c:f>Charts!$AF$3:$AF$32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Charts!$AH$3:$AH$32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5D-4BE6-B0BD-8A853CCBE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7641503"/>
        <c:axId val="957625279"/>
      </c:barChart>
      <c:dateAx>
        <c:axId val="95764150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625279"/>
        <c:crosses val="autoZero"/>
        <c:auto val="1"/>
        <c:lblOffset val="100"/>
        <c:baseTimeUnit val="days"/>
      </c:dateAx>
      <c:valAx>
        <c:axId val="957625279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641503"/>
        <c:crosses val="autoZero"/>
        <c:crossBetween val="between"/>
        <c:majorUnit val="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Material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Charts!$AK$2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0"/>
          <c:cat>
            <c:numRef>
              <c:f>Charts!$AJ$3:$AJ$32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Charts!$AK$3:$AK$32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C-4C78-B5B5-ECC15B6F4BE8}"/>
            </c:ext>
          </c:extLst>
        </c:ser>
        <c:ser>
          <c:idx val="1"/>
          <c:order val="1"/>
          <c:tx>
            <c:strRef>
              <c:f>Charts!$AL$2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cat>
            <c:numRef>
              <c:f>Charts!$AJ$3:$AJ$32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Charts!$AL$3:$AL$32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C-4C78-B5B5-ECC15B6F4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3575343"/>
        <c:axId val="513568271"/>
      </c:barChart>
      <c:dateAx>
        <c:axId val="51357534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68271"/>
        <c:crosses val="autoZero"/>
        <c:auto val="1"/>
        <c:lblOffset val="100"/>
        <c:baseTimeUnit val="days"/>
      </c:dateAx>
      <c:valAx>
        <c:axId val="513568271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75343"/>
        <c:crosses val="autoZero"/>
        <c:crossBetween val="between"/>
        <c:majorUnit val="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Measurement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Charts!$AO$2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0"/>
          <c:cat>
            <c:numRef>
              <c:f>Charts!$AN$3:$AN$32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Charts!$AO$3:$AO$32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A-4CD5-9912-90738619B9D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cat>
            <c:numRef>
              <c:f>Charts!$AN$3:$AN$32</c:f>
              <c:numCache>
                <c:formatCode>d\-mmm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Charts!$AP$3:$AP$32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2A-4CD5-9912-90738619B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2587775"/>
        <c:axId val="712566559"/>
      </c:barChart>
      <c:dateAx>
        <c:axId val="712587775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66559"/>
        <c:crosses val="autoZero"/>
        <c:auto val="1"/>
        <c:lblOffset val="100"/>
        <c:baseTimeUnit val="days"/>
      </c:dateAx>
      <c:valAx>
        <c:axId val="712566559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87775"/>
        <c:crosses val="autoZero"/>
        <c:crossBetween val="between"/>
        <c:majorUnit val="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7</xdr:row>
          <xdr:rowOff>9525</xdr:rowOff>
        </xdr:from>
        <xdr:to>
          <xdr:col>8</xdr:col>
          <xdr:colOff>590550</xdr:colOff>
          <xdr:row>10</xdr:row>
          <xdr:rowOff>57150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8</xdr:col>
          <xdr:colOff>590550</xdr:colOff>
          <xdr:row>13</xdr:row>
          <xdr:rowOff>161925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9</xdr:row>
          <xdr:rowOff>180975</xdr:rowOff>
        </xdr:from>
        <xdr:to>
          <xdr:col>12</xdr:col>
          <xdr:colOff>257175</xdr:colOff>
          <xdr:row>15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15</xdr:row>
          <xdr:rowOff>66675</xdr:rowOff>
        </xdr:from>
        <xdr:to>
          <xdr:col>12</xdr:col>
          <xdr:colOff>257175</xdr:colOff>
          <xdr:row>20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25495</xdr:colOff>
      <xdr:row>37</xdr:row>
      <xdr:rowOff>26193</xdr:rowOff>
    </xdr:from>
    <xdr:to>
      <xdr:col>17</xdr:col>
      <xdr:colOff>382682</xdr:colOff>
      <xdr:row>73</xdr:row>
      <xdr:rowOff>26193</xdr:rowOff>
    </xdr:to>
    <xdr:graphicFrame macro="">
      <xdr:nvGraphicFramePr>
        <xdr:cNvPr id="2" name="total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26663</xdr:colOff>
      <xdr:row>110</xdr:row>
      <xdr:rowOff>163126</xdr:rowOff>
    </xdr:from>
    <xdr:to>
      <xdr:col>50</xdr:col>
      <xdr:colOff>102863</xdr:colOff>
      <xdr:row>146</xdr:row>
      <xdr:rowOff>163126</xdr:rowOff>
    </xdr:to>
    <xdr:graphicFrame macro="">
      <xdr:nvGraphicFramePr>
        <xdr:cNvPr id="3" name="tmod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376195</xdr:colOff>
      <xdr:row>147</xdr:row>
      <xdr:rowOff>64448</xdr:rowOff>
    </xdr:from>
    <xdr:to>
      <xdr:col>30</xdr:col>
      <xdr:colOff>604795</xdr:colOff>
      <xdr:row>183</xdr:row>
      <xdr:rowOff>64448</xdr:rowOff>
    </xdr:to>
    <xdr:graphicFrame macro="">
      <xdr:nvGraphicFramePr>
        <xdr:cNvPr id="4" name="tprocess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425791</xdr:colOff>
      <xdr:row>37</xdr:row>
      <xdr:rowOff>58372</xdr:rowOff>
    </xdr:from>
    <xdr:to>
      <xdr:col>32</xdr:col>
      <xdr:colOff>159091</xdr:colOff>
      <xdr:row>73</xdr:row>
      <xdr:rowOff>58372</xdr:rowOff>
    </xdr:to>
    <xdr:graphicFrame macro="">
      <xdr:nvGraphicFramePr>
        <xdr:cNvPr id="5" name="t5m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74</xdr:row>
      <xdr:rowOff>31936</xdr:rowOff>
    </xdr:from>
    <xdr:to>
      <xdr:col>17</xdr:col>
      <xdr:colOff>357187</xdr:colOff>
      <xdr:row>110</xdr:row>
      <xdr:rowOff>31936</xdr:rowOff>
    </xdr:to>
    <xdr:graphicFrame macro="">
      <xdr:nvGraphicFramePr>
        <xdr:cNvPr id="17" name="tbreakdown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139033</xdr:colOff>
      <xdr:row>37</xdr:row>
      <xdr:rowOff>25774</xdr:rowOff>
    </xdr:from>
    <xdr:to>
      <xdr:col>46</xdr:col>
      <xdr:colOff>24733</xdr:colOff>
      <xdr:row>73</xdr:row>
      <xdr:rowOff>25774</xdr:rowOff>
    </xdr:to>
    <xdr:graphicFrame macro="">
      <xdr:nvGraphicFramePr>
        <xdr:cNvPr id="11" name="tindication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367145</xdr:colOff>
      <xdr:row>74</xdr:row>
      <xdr:rowOff>26821</xdr:rowOff>
    </xdr:from>
    <xdr:to>
      <xdr:col>35</xdr:col>
      <xdr:colOff>412865</xdr:colOff>
      <xdr:row>110</xdr:row>
      <xdr:rowOff>26821</xdr:rowOff>
    </xdr:to>
    <xdr:graphicFrame macro="">
      <xdr:nvGraphicFramePr>
        <xdr:cNvPr id="12" name="fman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441180</xdr:colOff>
      <xdr:row>74</xdr:row>
      <xdr:rowOff>42863</xdr:rowOff>
    </xdr:from>
    <xdr:to>
      <xdr:col>53</xdr:col>
      <xdr:colOff>417195</xdr:colOff>
      <xdr:row>110</xdr:row>
      <xdr:rowOff>42863</xdr:rowOff>
    </xdr:to>
    <xdr:graphicFrame macro="">
      <xdr:nvGraphicFramePr>
        <xdr:cNvPr id="13" name="fmachine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147</xdr:row>
      <xdr:rowOff>71436</xdr:rowOff>
    </xdr:from>
    <xdr:to>
      <xdr:col>16</xdr:col>
      <xdr:colOff>160020</xdr:colOff>
      <xdr:row>183</xdr:row>
      <xdr:rowOff>71436</xdr:rowOff>
    </xdr:to>
    <xdr:graphicFrame macro="">
      <xdr:nvGraphicFramePr>
        <xdr:cNvPr id="14" name="fmethod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110</xdr:row>
      <xdr:rowOff>162359</xdr:rowOff>
    </xdr:from>
    <xdr:to>
      <xdr:col>17</xdr:col>
      <xdr:colOff>541020</xdr:colOff>
      <xdr:row>146</xdr:row>
      <xdr:rowOff>162359</xdr:rowOff>
    </xdr:to>
    <xdr:graphicFrame macro="">
      <xdr:nvGraphicFramePr>
        <xdr:cNvPr id="15" name="fmaterial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543358</xdr:colOff>
      <xdr:row>110</xdr:row>
      <xdr:rowOff>149369</xdr:rowOff>
    </xdr:from>
    <xdr:to>
      <xdr:col>35</xdr:col>
      <xdr:colOff>568296</xdr:colOff>
      <xdr:row>146</xdr:row>
      <xdr:rowOff>149369</xdr:rowOff>
    </xdr:to>
    <xdr:graphicFrame macro="">
      <xdr:nvGraphicFramePr>
        <xdr:cNvPr id="16" name="fmeasurement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0</xdr:rowOff>
        </xdr:from>
        <xdr:to>
          <xdr:col>10</xdr:col>
          <xdr:colOff>323850</xdr:colOff>
          <xdr:row>16</xdr:row>
          <xdr:rowOff>38100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14</xdr:row>
          <xdr:rowOff>152400</xdr:rowOff>
        </xdr:from>
        <xdr:to>
          <xdr:col>10</xdr:col>
          <xdr:colOff>781050</xdr:colOff>
          <xdr:row>16</xdr:row>
          <xdr:rowOff>57150</xdr:rowOff>
        </xdr:to>
        <xdr:sp macro="" textlink="">
          <xdr:nvSpPr>
            <xdr:cNvPr id="6147" name="CommandButton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0</xdr:row>
          <xdr:rowOff>381000</xdr:rowOff>
        </xdr:from>
        <xdr:to>
          <xdr:col>10</xdr:col>
          <xdr:colOff>9525</xdr:colOff>
          <xdr:row>3</xdr:row>
          <xdr:rowOff>180975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5</xdr:row>
          <xdr:rowOff>9525</xdr:rowOff>
        </xdr:from>
        <xdr:to>
          <xdr:col>10</xdr:col>
          <xdr:colOff>28575</xdr:colOff>
          <xdr:row>8</xdr:row>
          <xdr:rowOff>19050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3B81-B8FD-4B0D-955F-C62425C2E53C}">
  <sheetPr codeName="Sheet1"/>
  <dimension ref="B2:P197"/>
  <sheetViews>
    <sheetView tabSelected="1" zoomScaleNormal="100" workbookViewId="0">
      <selection activeCell="H7" sqref="H7"/>
    </sheetView>
  </sheetViews>
  <sheetFormatPr defaultRowHeight="15" x14ac:dyDescent="0.25"/>
  <cols>
    <col min="2" max="2" width="28.5703125" bestFit="1" customWidth="1"/>
    <col min="3" max="3" width="11.140625" customWidth="1"/>
    <col min="5" max="5" width="35.7109375" bestFit="1" customWidth="1"/>
    <col min="6" max="6" width="9.140625" customWidth="1"/>
    <col min="11" max="11" width="23.85546875" bestFit="1" customWidth="1"/>
  </cols>
  <sheetData>
    <row r="2" spans="2:16" x14ac:dyDescent="0.25">
      <c r="B2" s="82" t="s">
        <v>17</v>
      </c>
      <c r="C2" s="83"/>
      <c r="E2" s="84" t="s">
        <v>139</v>
      </c>
      <c r="F2" s="85"/>
    </row>
    <row r="3" spans="2:16" x14ac:dyDescent="0.25">
      <c r="B3" s="5" t="s">
        <v>15</v>
      </c>
      <c r="C3" s="5" t="s">
        <v>16</v>
      </c>
      <c r="E3" s="6" t="s">
        <v>15</v>
      </c>
      <c r="F3" s="7" t="s">
        <v>16</v>
      </c>
    </row>
    <row r="4" spans="2:16" ht="15.75" x14ac:dyDescent="0.25">
      <c r="B4" s="1" t="s">
        <v>0</v>
      </c>
      <c r="C4" s="2">
        <v>2103</v>
      </c>
      <c r="E4" s="21" t="s">
        <v>108</v>
      </c>
      <c r="F4" s="64">
        <v>934925</v>
      </c>
    </row>
    <row r="5" spans="2:16" ht="15.75" x14ac:dyDescent="0.25">
      <c r="B5" s="1" t="s">
        <v>1</v>
      </c>
      <c r="C5" s="2">
        <v>931678</v>
      </c>
      <c r="E5" s="21" t="s">
        <v>75</v>
      </c>
      <c r="F5" s="64">
        <v>939738</v>
      </c>
    </row>
    <row r="6" spans="2:16" x14ac:dyDescent="0.25">
      <c r="B6" s="3" t="s">
        <v>2</v>
      </c>
      <c r="C6" s="4">
        <v>940770</v>
      </c>
      <c r="E6" s="21" t="s">
        <v>87</v>
      </c>
      <c r="F6" s="64">
        <v>933477</v>
      </c>
    </row>
    <row r="7" spans="2:16" x14ac:dyDescent="0.25">
      <c r="B7" s="3" t="s">
        <v>3</v>
      </c>
      <c r="C7" s="4">
        <v>402131</v>
      </c>
      <c r="E7" s="21" t="s">
        <v>35</v>
      </c>
      <c r="F7" s="64">
        <v>939741</v>
      </c>
    </row>
    <row r="8" spans="2:16" x14ac:dyDescent="0.25">
      <c r="B8" s="3" t="s">
        <v>4</v>
      </c>
      <c r="C8" s="4">
        <v>903069</v>
      </c>
      <c r="E8" s="21" t="s">
        <v>40</v>
      </c>
      <c r="F8" s="64">
        <v>940170</v>
      </c>
    </row>
    <row r="9" spans="2:16" x14ac:dyDescent="0.25">
      <c r="B9" s="3" t="s">
        <v>5</v>
      </c>
      <c r="C9" s="4">
        <v>917670</v>
      </c>
      <c r="E9" s="21" t="s">
        <v>84</v>
      </c>
      <c r="F9" s="64">
        <v>940713</v>
      </c>
    </row>
    <row r="10" spans="2:16" x14ac:dyDescent="0.25">
      <c r="B10" s="3" t="s">
        <v>6</v>
      </c>
      <c r="C10" s="4">
        <v>919041</v>
      </c>
      <c r="E10" s="21" t="s">
        <v>61</v>
      </c>
      <c r="F10" s="64">
        <v>939815</v>
      </c>
    </row>
    <row r="11" spans="2:16" x14ac:dyDescent="0.25">
      <c r="B11" s="3" t="s">
        <v>7</v>
      </c>
      <c r="C11" s="4">
        <v>919196</v>
      </c>
      <c r="E11" s="21" t="s">
        <v>114</v>
      </c>
      <c r="F11" s="64">
        <v>935485</v>
      </c>
    </row>
    <row r="12" spans="2:16" x14ac:dyDescent="0.25">
      <c r="B12" s="3" t="s">
        <v>8</v>
      </c>
      <c r="C12" s="4">
        <v>919078</v>
      </c>
      <c r="E12" s="21" t="s">
        <v>63</v>
      </c>
      <c r="F12" s="64">
        <v>939929</v>
      </c>
    </row>
    <row r="13" spans="2:16" x14ac:dyDescent="0.25">
      <c r="B13" s="3" t="s">
        <v>9</v>
      </c>
      <c r="C13" s="4">
        <v>907378</v>
      </c>
      <c r="E13" s="21" t="s">
        <v>6</v>
      </c>
      <c r="F13" s="64">
        <v>919041</v>
      </c>
    </row>
    <row r="14" spans="2:16" x14ac:dyDescent="0.25">
      <c r="B14" s="3" t="s">
        <v>10</v>
      </c>
      <c r="C14" s="4">
        <v>914910</v>
      </c>
      <c r="E14" s="21" t="s">
        <v>29</v>
      </c>
      <c r="F14" s="64">
        <v>940274</v>
      </c>
    </row>
    <row r="15" spans="2:16" x14ac:dyDescent="0.25">
      <c r="B15" s="3" t="s">
        <v>11</v>
      </c>
      <c r="C15" s="4">
        <v>2024</v>
      </c>
      <c r="E15" s="21" t="s">
        <v>70</v>
      </c>
      <c r="F15" s="64">
        <v>939707</v>
      </c>
      <c r="P15" s="61"/>
    </row>
    <row r="16" spans="2:16" x14ac:dyDescent="0.25">
      <c r="B16" s="3" t="s">
        <v>12</v>
      </c>
      <c r="C16" s="4">
        <v>902290</v>
      </c>
      <c r="E16" s="21" t="s">
        <v>107</v>
      </c>
      <c r="F16" s="64">
        <v>200144</v>
      </c>
    </row>
    <row r="17" spans="2:6" x14ac:dyDescent="0.25">
      <c r="B17" s="3" t="s">
        <v>13</v>
      </c>
      <c r="C17" s="4">
        <v>925996</v>
      </c>
      <c r="E17" s="21" t="s">
        <v>69</v>
      </c>
      <c r="F17" s="64">
        <v>915351</v>
      </c>
    </row>
    <row r="18" spans="2:6" x14ac:dyDescent="0.25">
      <c r="B18" s="21" t="s">
        <v>115</v>
      </c>
      <c r="C18" s="64">
        <v>910418</v>
      </c>
      <c r="E18" s="21" t="s">
        <v>9</v>
      </c>
      <c r="F18" s="64">
        <v>907378</v>
      </c>
    </row>
    <row r="19" spans="2:6" x14ac:dyDescent="0.25">
      <c r="E19" s="21" t="s">
        <v>46</v>
      </c>
      <c r="F19" s="64">
        <v>940703</v>
      </c>
    </row>
    <row r="20" spans="2:6" x14ac:dyDescent="0.25">
      <c r="E20" s="21" t="s">
        <v>80</v>
      </c>
      <c r="F20" s="64">
        <v>932369</v>
      </c>
    </row>
    <row r="21" spans="2:6" x14ac:dyDescent="0.25">
      <c r="E21" s="21" t="s">
        <v>131</v>
      </c>
      <c r="F21" s="64">
        <v>934409</v>
      </c>
    </row>
    <row r="22" spans="2:6" x14ac:dyDescent="0.25">
      <c r="E22" s="21" t="s">
        <v>89</v>
      </c>
      <c r="F22" s="64">
        <v>939547</v>
      </c>
    </row>
    <row r="23" spans="2:6" x14ac:dyDescent="0.25">
      <c r="E23" s="21" t="s">
        <v>124</v>
      </c>
      <c r="F23" s="64">
        <v>940284</v>
      </c>
    </row>
    <row r="24" spans="2:6" x14ac:dyDescent="0.25">
      <c r="E24" s="21" t="s">
        <v>24</v>
      </c>
      <c r="F24" s="64">
        <v>936186</v>
      </c>
    </row>
    <row r="25" spans="2:6" x14ac:dyDescent="0.25">
      <c r="E25" s="21" t="s">
        <v>117</v>
      </c>
      <c r="F25" s="64">
        <v>939550</v>
      </c>
    </row>
    <row r="26" spans="2:6" x14ac:dyDescent="0.25">
      <c r="E26" s="21" t="s">
        <v>120</v>
      </c>
      <c r="F26" s="64">
        <v>940039</v>
      </c>
    </row>
    <row r="27" spans="2:6" x14ac:dyDescent="0.25">
      <c r="E27" s="21" t="s">
        <v>19</v>
      </c>
      <c r="F27" s="64">
        <v>940474</v>
      </c>
    </row>
    <row r="28" spans="2:6" x14ac:dyDescent="0.25">
      <c r="E28" s="21" t="s">
        <v>94</v>
      </c>
      <c r="F28" s="64">
        <v>940028</v>
      </c>
    </row>
    <row r="29" spans="2:6" x14ac:dyDescent="0.25">
      <c r="E29" s="21" t="s">
        <v>101</v>
      </c>
      <c r="F29" s="64" t="s">
        <v>102</v>
      </c>
    </row>
    <row r="30" spans="2:6" x14ac:dyDescent="0.25">
      <c r="E30" s="21" t="s">
        <v>47</v>
      </c>
      <c r="F30" s="64">
        <v>921949</v>
      </c>
    </row>
    <row r="31" spans="2:6" x14ac:dyDescent="0.25">
      <c r="E31" s="21" t="s">
        <v>310</v>
      </c>
      <c r="F31" s="64">
        <v>941301</v>
      </c>
    </row>
    <row r="32" spans="2:6" x14ac:dyDescent="0.25">
      <c r="E32" s="21" t="s">
        <v>64</v>
      </c>
      <c r="F32" s="64">
        <v>940026</v>
      </c>
    </row>
    <row r="33" spans="5:11" x14ac:dyDescent="0.25">
      <c r="E33" s="21" t="s">
        <v>96</v>
      </c>
      <c r="F33" s="64">
        <v>914990</v>
      </c>
    </row>
    <row r="34" spans="5:11" x14ac:dyDescent="0.25">
      <c r="E34" s="21" t="s">
        <v>97</v>
      </c>
      <c r="F34" s="64">
        <v>916624</v>
      </c>
    </row>
    <row r="35" spans="5:11" x14ac:dyDescent="0.25">
      <c r="E35" s="21" t="s">
        <v>106</v>
      </c>
      <c r="F35" s="64">
        <v>940815</v>
      </c>
    </row>
    <row r="36" spans="5:11" x14ac:dyDescent="0.25">
      <c r="E36" s="21" t="s">
        <v>126</v>
      </c>
      <c r="F36" s="64">
        <v>916973</v>
      </c>
    </row>
    <row r="37" spans="5:11" x14ac:dyDescent="0.25">
      <c r="E37" s="21" t="s">
        <v>90</v>
      </c>
      <c r="F37" s="64">
        <v>940580</v>
      </c>
    </row>
    <row r="38" spans="5:11" x14ac:dyDescent="0.25">
      <c r="E38" s="21" t="s">
        <v>133</v>
      </c>
      <c r="F38" s="64">
        <v>939548</v>
      </c>
    </row>
    <row r="39" spans="5:11" x14ac:dyDescent="0.25">
      <c r="E39" s="21" t="s">
        <v>38</v>
      </c>
      <c r="F39" s="64">
        <v>940632</v>
      </c>
    </row>
    <row r="40" spans="5:11" x14ac:dyDescent="0.25">
      <c r="E40" s="21" t="s">
        <v>100</v>
      </c>
      <c r="F40" s="64">
        <v>905231</v>
      </c>
    </row>
    <row r="41" spans="5:11" x14ac:dyDescent="0.25">
      <c r="E41" s="21" t="s">
        <v>20</v>
      </c>
      <c r="F41" s="64">
        <v>939844</v>
      </c>
    </row>
    <row r="42" spans="5:11" x14ac:dyDescent="0.25">
      <c r="E42" s="21" t="s">
        <v>54</v>
      </c>
      <c r="F42" s="64">
        <v>939930</v>
      </c>
    </row>
    <row r="43" spans="5:11" ht="15.75" x14ac:dyDescent="0.25">
      <c r="E43" s="21" t="s">
        <v>5</v>
      </c>
      <c r="F43" s="64">
        <v>917670</v>
      </c>
      <c r="K43" s="14" t="s">
        <v>154</v>
      </c>
    </row>
    <row r="44" spans="5:11" ht="15.75" x14ac:dyDescent="0.25">
      <c r="E44" s="21" t="s">
        <v>65</v>
      </c>
      <c r="F44" s="64">
        <v>940040</v>
      </c>
      <c r="K44" s="15">
        <v>100</v>
      </c>
    </row>
    <row r="45" spans="5:11" ht="15.75" x14ac:dyDescent="0.25">
      <c r="E45" s="21" t="s">
        <v>132</v>
      </c>
      <c r="F45" s="64">
        <v>935449</v>
      </c>
      <c r="K45" s="16"/>
    </row>
    <row r="46" spans="5:11" ht="15.75" x14ac:dyDescent="0.25">
      <c r="E46" s="21" t="s">
        <v>122</v>
      </c>
      <c r="F46" s="64">
        <v>940708</v>
      </c>
      <c r="K46" s="22" t="s">
        <v>155</v>
      </c>
    </row>
    <row r="47" spans="5:11" x14ac:dyDescent="0.25">
      <c r="E47" s="21" t="s">
        <v>41</v>
      </c>
      <c r="F47" s="64">
        <v>940363</v>
      </c>
      <c r="K47" s="23"/>
    </row>
    <row r="48" spans="5:11" x14ac:dyDescent="0.25">
      <c r="E48" s="21" t="s">
        <v>39</v>
      </c>
      <c r="F48" s="64">
        <v>940029</v>
      </c>
      <c r="K48" s="24"/>
    </row>
    <row r="49" spans="5:11" x14ac:dyDescent="0.25">
      <c r="E49" s="21" t="s">
        <v>78</v>
      </c>
      <c r="F49" s="64">
        <v>916631</v>
      </c>
      <c r="K49" s="25"/>
    </row>
    <row r="50" spans="5:11" ht="15.75" x14ac:dyDescent="0.25">
      <c r="E50" s="21" t="s">
        <v>57</v>
      </c>
      <c r="F50" s="64">
        <v>940116</v>
      </c>
      <c r="K50" s="17" t="s">
        <v>163</v>
      </c>
    </row>
    <row r="51" spans="5:11" x14ac:dyDescent="0.25">
      <c r="E51" s="21" t="s">
        <v>79</v>
      </c>
      <c r="F51" s="64">
        <v>917030</v>
      </c>
    </row>
    <row r="52" spans="5:11" x14ac:dyDescent="0.25">
      <c r="E52" s="21" t="s">
        <v>136</v>
      </c>
      <c r="F52" s="64">
        <v>940793</v>
      </c>
    </row>
    <row r="53" spans="5:11" x14ac:dyDescent="0.25">
      <c r="E53" s="21" t="s">
        <v>110</v>
      </c>
      <c r="F53" s="64" t="s">
        <v>111</v>
      </c>
    </row>
    <row r="54" spans="5:11" x14ac:dyDescent="0.25">
      <c r="E54" s="21" t="s">
        <v>77</v>
      </c>
      <c r="F54" s="64">
        <v>940034</v>
      </c>
    </row>
    <row r="55" spans="5:11" x14ac:dyDescent="0.25">
      <c r="E55" s="21" t="s">
        <v>59</v>
      </c>
      <c r="F55" s="64">
        <v>917248</v>
      </c>
    </row>
    <row r="56" spans="5:11" x14ac:dyDescent="0.25">
      <c r="E56" s="21" t="s">
        <v>11</v>
      </c>
      <c r="F56" s="64" t="s">
        <v>14</v>
      </c>
    </row>
    <row r="57" spans="5:11" x14ac:dyDescent="0.25">
      <c r="E57" s="21" t="s">
        <v>34</v>
      </c>
      <c r="F57" s="64">
        <v>939510</v>
      </c>
    </row>
    <row r="58" spans="5:11" x14ac:dyDescent="0.25">
      <c r="E58" s="21" t="s">
        <v>112</v>
      </c>
      <c r="F58" s="64">
        <v>934928</v>
      </c>
    </row>
    <row r="59" spans="5:11" x14ac:dyDescent="0.25">
      <c r="E59" s="21" t="s">
        <v>74</v>
      </c>
      <c r="F59" s="64">
        <v>940581</v>
      </c>
    </row>
    <row r="60" spans="5:11" x14ac:dyDescent="0.25">
      <c r="E60" s="21" t="s">
        <v>62</v>
      </c>
      <c r="F60" s="64">
        <v>939908</v>
      </c>
    </row>
    <row r="61" spans="5:11" x14ac:dyDescent="0.25">
      <c r="E61" s="21" t="s">
        <v>3</v>
      </c>
      <c r="F61" s="64">
        <v>402131</v>
      </c>
    </row>
    <row r="62" spans="5:11" x14ac:dyDescent="0.25">
      <c r="E62" s="21" t="s">
        <v>27</v>
      </c>
      <c r="F62" s="64">
        <v>939742</v>
      </c>
    </row>
    <row r="63" spans="5:11" x14ac:dyDescent="0.25">
      <c r="E63" s="21" t="s">
        <v>43</v>
      </c>
      <c r="F63" s="64">
        <v>940709</v>
      </c>
    </row>
    <row r="64" spans="5:11" x14ac:dyDescent="0.25">
      <c r="E64" s="21" t="s">
        <v>33</v>
      </c>
      <c r="F64" s="64">
        <v>935566</v>
      </c>
    </row>
    <row r="65" spans="5:6" x14ac:dyDescent="0.25">
      <c r="E65" s="21" t="s">
        <v>7</v>
      </c>
      <c r="F65" s="64">
        <v>919196</v>
      </c>
    </row>
    <row r="66" spans="5:6" x14ac:dyDescent="0.25">
      <c r="E66" s="21" t="s">
        <v>72</v>
      </c>
      <c r="F66" s="64">
        <v>940285</v>
      </c>
    </row>
    <row r="67" spans="5:6" x14ac:dyDescent="0.25">
      <c r="E67" s="21" t="s">
        <v>137</v>
      </c>
      <c r="F67" s="64">
        <v>931140</v>
      </c>
    </row>
    <row r="68" spans="5:6" x14ac:dyDescent="0.25">
      <c r="E68" s="21" t="s">
        <v>91</v>
      </c>
      <c r="F68" s="64">
        <v>939464</v>
      </c>
    </row>
    <row r="69" spans="5:6" x14ac:dyDescent="0.25">
      <c r="E69" s="21" t="s">
        <v>44</v>
      </c>
      <c r="F69" s="64">
        <v>939925</v>
      </c>
    </row>
    <row r="70" spans="5:6" x14ac:dyDescent="0.25">
      <c r="E70" s="21" t="s">
        <v>128</v>
      </c>
      <c r="F70" s="64">
        <v>931886</v>
      </c>
    </row>
    <row r="71" spans="5:6" x14ac:dyDescent="0.25">
      <c r="E71" s="21" t="s">
        <v>56</v>
      </c>
      <c r="F71" s="64">
        <v>940067</v>
      </c>
    </row>
    <row r="72" spans="5:6" x14ac:dyDescent="0.25">
      <c r="E72" s="21" t="s">
        <v>118</v>
      </c>
      <c r="F72" s="64">
        <v>921963</v>
      </c>
    </row>
    <row r="73" spans="5:6" x14ac:dyDescent="0.25">
      <c r="E73" s="21" t="s">
        <v>8</v>
      </c>
      <c r="F73" s="64">
        <v>919078</v>
      </c>
    </row>
    <row r="74" spans="5:6" x14ac:dyDescent="0.25">
      <c r="E74" s="21" t="s">
        <v>12</v>
      </c>
      <c r="F74" s="64">
        <v>902290</v>
      </c>
    </row>
    <row r="75" spans="5:6" x14ac:dyDescent="0.25">
      <c r="E75" s="21" t="s">
        <v>93</v>
      </c>
      <c r="F75" s="64">
        <v>916644</v>
      </c>
    </row>
    <row r="76" spans="5:6" x14ac:dyDescent="0.25">
      <c r="E76" s="21" t="s">
        <v>23</v>
      </c>
      <c r="F76" s="64">
        <v>931618</v>
      </c>
    </row>
    <row r="77" spans="5:6" x14ac:dyDescent="0.25">
      <c r="E77" s="21" t="s">
        <v>51</v>
      </c>
      <c r="F77" s="64">
        <v>939703</v>
      </c>
    </row>
    <row r="78" spans="5:6" x14ac:dyDescent="0.25">
      <c r="E78" s="21" t="s">
        <v>81</v>
      </c>
      <c r="F78" s="64">
        <v>936457</v>
      </c>
    </row>
    <row r="79" spans="5:6" x14ac:dyDescent="0.25">
      <c r="E79" s="21" t="s">
        <v>10</v>
      </c>
      <c r="F79" s="64">
        <v>914910</v>
      </c>
    </row>
    <row r="80" spans="5:6" x14ac:dyDescent="0.25">
      <c r="E80" s="21" t="s">
        <v>309</v>
      </c>
      <c r="F80" s="64">
        <v>940398</v>
      </c>
    </row>
    <row r="81" spans="5:6" x14ac:dyDescent="0.25">
      <c r="E81" s="21" t="s">
        <v>25</v>
      </c>
      <c r="F81" s="64">
        <v>939508</v>
      </c>
    </row>
    <row r="82" spans="5:6" x14ac:dyDescent="0.25">
      <c r="E82" s="21" t="s">
        <v>32</v>
      </c>
      <c r="F82" s="64">
        <v>912812</v>
      </c>
    </row>
    <row r="83" spans="5:6" x14ac:dyDescent="0.25">
      <c r="E83" s="21" t="s">
        <v>82</v>
      </c>
      <c r="F83" s="64">
        <v>938322</v>
      </c>
    </row>
    <row r="84" spans="5:6" x14ac:dyDescent="0.25">
      <c r="E84" s="21" t="s">
        <v>104</v>
      </c>
      <c r="F84" s="64">
        <v>939677</v>
      </c>
    </row>
    <row r="85" spans="5:6" x14ac:dyDescent="0.25">
      <c r="E85" s="21" t="s">
        <v>95</v>
      </c>
      <c r="F85" s="64">
        <v>940172</v>
      </c>
    </row>
    <row r="86" spans="5:6" x14ac:dyDescent="0.25">
      <c r="E86" s="21" t="s">
        <v>98</v>
      </c>
      <c r="F86" s="64">
        <v>940717</v>
      </c>
    </row>
    <row r="87" spans="5:6" x14ac:dyDescent="0.25">
      <c r="E87" s="21" t="s">
        <v>1</v>
      </c>
      <c r="F87" s="64">
        <v>931678</v>
      </c>
    </row>
    <row r="88" spans="5:6" x14ac:dyDescent="0.25">
      <c r="E88" s="21" t="s">
        <v>115</v>
      </c>
      <c r="F88" s="64">
        <v>910418</v>
      </c>
    </row>
    <row r="89" spans="5:6" x14ac:dyDescent="0.25">
      <c r="E89" s="21" t="s">
        <v>36</v>
      </c>
      <c r="F89" s="64">
        <v>939920</v>
      </c>
    </row>
    <row r="90" spans="5:6" x14ac:dyDescent="0.25">
      <c r="E90" s="21" t="s">
        <v>31</v>
      </c>
      <c r="F90" s="64">
        <v>907628</v>
      </c>
    </row>
    <row r="91" spans="5:6" x14ac:dyDescent="0.25">
      <c r="E91" s="21" t="s">
        <v>99</v>
      </c>
      <c r="F91" s="64">
        <v>940795</v>
      </c>
    </row>
    <row r="92" spans="5:6" x14ac:dyDescent="0.25">
      <c r="E92" s="21" t="s">
        <v>88</v>
      </c>
      <c r="F92" s="64">
        <v>939145</v>
      </c>
    </row>
    <row r="93" spans="5:6" x14ac:dyDescent="0.25">
      <c r="E93" s="21" t="s">
        <v>71</v>
      </c>
      <c r="F93" s="64">
        <v>940121</v>
      </c>
    </row>
    <row r="94" spans="5:6" x14ac:dyDescent="0.25">
      <c r="E94" s="21" t="s">
        <v>135</v>
      </c>
      <c r="F94" s="64">
        <v>940615</v>
      </c>
    </row>
    <row r="95" spans="5:6" x14ac:dyDescent="0.25">
      <c r="E95" s="21" t="s">
        <v>306</v>
      </c>
      <c r="F95" s="64">
        <v>932074</v>
      </c>
    </row>
    <row r="96" spans="5:6" x14ac:dyDescent="0.25">
      <c r="E96" s="21" t="s">
        <v>53</v>
      </c>
      <c r="F96" s="64">
        <v>939909</v>
      </c>
    </row>
    <row r="97" spans="5:6" x14ac:dyDescent="0.25">
      <c r="E97" s="21" t="s">
        <v>311</v>
      </c>
      <c r="F97" s="64">
        <v>941298</v>
      </c>
    </row>
    <row r="98" spans="5:6" x14ac:dyDescent="0.25">
      <c r="E98" s="21" t="s">
        <v>105</v>
      </c>
      <c r="F98" s="64">
        <v>940771</v>
      </c>
    </row>
    <row r="99" spans="5:6" x14ac:dyDescent="0.25">
      <c r="E99" s="21" t="s">
        <v>22</v>
      </c>
      <c r="F99" s="64">
        <v>923138</v>
      </c>
    </row>
    <row r="100" spans="5:6" x14ac:dyDescent="0.25">
      <c r="E100" s="21" t="s">
        <v>116</v>
      </c>
      <c r="F100" s="64">
        <v>922708</v>
      </c>
    </row>
    <row r="101" spans="5:6" x14ac:dyDescent="0.25">
      <c r="E101" s="21" t="s">
        <v>130</v>
      </c>
      <c r="F101" s="64">
        <v>939706</v>
      </c>
    </row>
    <row r="102" spans="5:6" x14ac:dyDescent="0.25">
      <c r="E102" s="21" t="s">
        <v>134</v>
      </c>
      <c r="F102" s="64">
        <v>940404</v>
      </c>
    </row>
    <row r="103" spans="5:6" x14ac:dyDescent="0.25">
      <c r="E103" s="21" t="s">
        <v>30</v>
      </c>
      <c r="F103" s="64">
        <v>940621</v>
      </c>
    </row>
    <row r="104" spans="5:6" x14ac:dyDescent="0.25">
      <c r="E104" s="21" t="s">
        <v>49</v>
      </c>
      <c r="F104" s="64">
        <v>940036</v>
      </c>
    </row>
    <row r="105" spans="5:6" x14ac:dyDescent="0.25">
      <c r="E105" s="21" t="s">
        <v>42</v>
      </c>
      <c r="F105" s="64">
        <v>939927</v>
      </c>
    </row>
    <row r="106" spans="5:6" x14ac:dyDescent="0.25">
      <c r="E106" s="21" t="s">
        <v>92</v>
      </c>
      <c r="F106" s="64">
        <v>914874</v>
      </c>
    </row>
    <row r="107" spans="5:6" x14ac:dyDescent="0.25">
      <c r="E107" s="21" t="s">
        <v>73</v>
      </c>
      <c r="F107" s="64">
        <v>940122</v>
      </c>
    </row>
    <row r="108" spans="5:6" x14ac:dyDescent="0.25">
      <c r="E108" s="21" t="s">
        <v>125</v>
      </c>
      <c r="F108" s="64">
        <v>940719</v>
      </c>
    </row>
    <row r="109" spans="5:6" x14ac:dyDescent="0.25">
      <c r="E109" s="21" t="s">
        <v>58</v>
      </c>
      <c r="F109" s="64">
        <v>940623</v>
      </c>
    </row>
    <row r="110" spans="5:6" x14ac:dyDescent="0.25">
      <c r="E110" s="21" t="s">
        <v>76</v>
      </c>
      <c r="F110" s="64">
        <v>939928</v>
      </c>
    </row>
    <row r="111" spans="5:6" x14ac:dyDescent="0.25">
      <c r="E111" s="21" t="s">
        <v>85</v>
      </c>
      <c r="F111" s="64">
        <v>915403</v>
      </c>
    </row>
    <row r="112" spans="5:6" x14ac:dyDescent="0.25">
      <c r="E112" s="21" t="s">
        <v>307</v>
      </c>
      <c r="F112" s="64">
        <v>940836</v>
      </c>
    </row>
    <row r="113" spans="5:6" x14ac:dyDescent="0.25">
      <c r="E113" s="21" t="s">
        <v>66</v>
      </c>
      <c r="F113" s="64">
        <v>940353</v>
      </c>
    </row>
    <row r="114" spans="5:6" x14ac:dyDescent="0.25">
      <c r="E114" s="21" t="s">
        <v>45</v>
      </c>
      <c r="F114" s="64">
        <v>920687</v>
      </c>
    </row>
    <row r="115" spans="5:6" x14ac:dyDescent="0.25">
      <c r="E115" s="21" t="s">
        <v>308</v>
      </c>
      <c r="F115" s="64">
        <v>940796</v>
      </c>
    </row>
    <row r="116" spans="5:6" x14ac:dyDescent="0.25">
      <c r="E116" s="21" t="s">
        <v>60</v>
      </c>
      <c r="F116" s="64">
        <v>939747</v>
      </c>
    </row>
    <row r="117" spans="5:6" x14ac:dyDescent="0.25">
      <c r="E117" s="21" t="s">
        <v>52</v>
      </c>
      <c r="F117" s="64">
        <v>939748</v>
      </c>
    </row>
    <row r="118" spans="5:6" x14ac:dyDescent="0.25">
      <c r="E118" s="21" t="s">
        <v>119</v>
      </c>
      <c r="F118" s="64">
        <v>939749</v>
      </c>
    </row>
    <row r="119" spans="5:6" x14ac:dyDescent="0.25">
      <c r="E119" s="21" t="s">
        <v>50</v>
      </c>
      <c r="F119" s="64">
        <v>920274</v>
      </c>
    </row>
    <row r="120" spans="5:6" x14ac:dyDescent="0.25">
      <c r="E120" s="21" t="s">
        <v>26</v>
      </c>
      <c r="F120" s="64">
        <v>939509</v>
      </c>
    </row>
    <row r="121" spans="5:6" x14ac:dyDescent="0.25">
      <c r="E121" s="21" t="s">
        <v>67</v>
      </c>
      <c r="F121" s="64" t="s">
        <v>68</v>
      </c>
    </row>
    <row r="122" spans="5:6" x14ac:dyDescent="0.25">
      <c r="E122" s="21" t="s">
        <v>138</v>
      </c>
      <c r="F122" s="64">
        <v>939465</v>
      </c>
    </row>
    <row r="123" spans="5:6" x14ac:dyDescent="0.25">
      <c r="E123" s="21" t="s">
        <v>48</v>
      </c>
      <c r="F123" s="64">
        <v>923869</v>
      </c>
    </row>
    <row r="124" spans="5:6" x14ac:dyDescent="0.25">
      <c r="E124" s="21" t="s">
        <v>4</v>
      </c>
      <c r="F124" s="64">
        <v>903069</v>
      </c>
    </row>
    <row r="125" spans="5:6" x14ac:dyDescent="0.25">
      <c r="E125" s="21" t="s">
        <v>55</v>
      </c>
      <c r="F125" s="64">
        <v>940038</v>
      </c>
    </row>
    <row r="126" spans="5:6" x14ac:dyDescent="0.25">
      <c r="E126" s="21" t="s">
        <v>127</v>
      </c>
      <c r="F126" s="64">
        <v>923090</v>
      </c>
    </row>
    <row r="127" spans="5:6" x14ac:dyDescent="0.25">
      <c r="E127" s="21" t="s">
        <v>83</v>
      </c>
      <c r="F127" s="64">
        <v>939724</v>
      </c>
    </row>
    <row r="128" spans="5:6" x14ac:dyDescent="0.25">
      <c r="E128" s="21" t="s">
        <v>21</v>
      </c>
      <c r="F128" s="64">
        <v>939848</v>
      </c>
    </row>
    <row r="129" spans="5:6" x14ac:dyDescent="0.25">
      <c r="E129" s="21" t="s">
        <v>109</v>
      </c>
      <c r="F129" s="64">
        <v>934931</v>
      </c>
    </row>
    <row r="130" spans="5:6" x14ac:dyDescent="0.25">
      <c r="E130" s="21" t="s">
        <v>18</v>
      </c>
      <c r="F130" s="64">
        <v>940358</v>
      </c>
    </row>
    <row r="131" spans="5:6" x14ac:dyDescent="0.25">
      <c r="E131" s="21" t="s">
        <v>123</v>
      </c>
      <c r="F131" s="64">
        <v>940035</v>
      </c>
    </row>
    <row r="132" spans="5:6" x14ac:dyDescent="0.25">
      <c r="E132" s="21" t="s">
        <v>129</v>
      </c>
      <c r="F132" s="64">
        <v>940068</v>
      </c>
    </row>
    <row r="133" spans="5:6" x14ac:dyDescent="0.25">
      <c r="E133" s="21" t="s">
        <v>37</v>
      </c>
      <c r="F133" s="64">
        <v>940406</v>
      </c>
    </row>
    <row r="134" spans="5:6" x14ac:dyDescent="0.25">
      <c r="E134" s="21" t="s">
        <v>2</v>
      </c>
      <c r="F134" s="64">
        <v>940770</v>
      </c>
    </row>
    <row r="135" spans="5:6" x14ac:dyDescent="0.25">
      <c r="E135" s="21" t="s">
        <v>28</v>
      </c>
      <c r="F135" s="64">
        <v>940169</v>
      </c>
    </row>
    <row r="136" spans="5:6" x14ac:dyDescent="0.25">
      <c r="E136" s="21" t="s">
        <v>86</v>
      </c>
      <c r="F136" s="64">
        <v>917592</v>
      </c>
    </row>
    <row r="137" spans="5:6" x14ac:dyDescent="0.25">
      <c r="E137" s="21" t="s">
        <v>121</v>
      </c>
      <c r="F137" s="64">
        <v>940582</v>
      </c>
    </row>
    <row r="138" spans="5:6" x14ac:dyDescent="0.25">
      <c r="E138" s="21" t="s">
        <v>103</v>
      </c>
      <c r="F138" s="64">
        <v>919077</v>
      </c>
    </row>
    <row r="139" spans="5:6" x14ac:dyDescent="0.25">
      <c r="E139" s="21" t="s">
        <v>13</v>
      </c>
      <c r="F139" s="64">
        <v>925996</v>
      </c>
    </row>
    <row r="140" spans="5:6" x14ac:dyDescent="0.25">
      <c r="E140" s="21" t="s">
        <v>113</v>
      </c>
      <c r="F140" s="64">
        <v>935411</v>
      </c>
    </row>
    <row r="141" spans="5:6" x14ac:dyDescent="0.25">
      <c r="E141" s="3"/>
      <c r="F141" s="9"/>
    </row>
    <row r="142" spans="5:6" x14ac:dyDescent="0.25">
      <c r="E142" s="3"/>
      <c r="F142" s="9"/>
    </row>
    <row r="143" spans="5:6" x14ac:dyDescent="0.25">
      <c r="E143" s="3"/>
      <c r="F143" s="9"/>
    </row>
    <row r="144" spans="5:6" x14ac:dyDescent="0.25">
      <c r="E144" s="3"/>
      <c r="F144" s="9"/>
    </row>
    <row r="145" spans="5:6" x14ac:dyDescent="0.25">
      <c r="E145" s="3"/>
      <c r="F145" s="9"/>
    </row>
    <row r="146" spans="5:6" x14ac:dyDescent="0.25">
      <c r="E146" s="3"/>
      <c r="F146" s="8"/>
    </row>
    <row r="147" spans="5:6" x14ac:dyDescent="0.25">
      <c r="E147" s="3"/>
      <c r="F147" s="8"/>
    </row>
    <row r="148" spans="5:6" x14ac:dyDescent="0.25">
      <c r="E148" s="3"/>
      <c r="F148" s="9"/>
    </row>
    <row r="149" spans="5:6" x14ac:dyDescent="0.25">
      <c r="E149" s="3"/>
      <c r="F149" s="9"/>
    </row>
    <row r="150" spans="5:6" x14ac:dyDescent="0.25">
      <c r="E150" s="3"/>
      <c r="F150" s="9"/>
    </row>
    <row r="151" spans="5:6" x14ac:dyDescent="0.25">
      <c r="E151" s="3"/>
      <c r="F151" s="9"/>
    </row>
    <row r="152" spans="5:6" x14ac:dyDescent="0.25">
      <c r="E152" s="3"/>
      <c r="F152" s="9"/>
    </row>
    <row r="153" spans="5:6" x14ac:dyDescent="0.25">
      <c r="E153" s="3"/>
      <c r="F153" s="9"/>
    </row>
    <row r="154" spans="5:6" x14ac:dyDescent="0.25">
      <c r="E154" s="3"/>
      <c r="F154" s="9"/>
    </row>
    <row r="155" spans="5:6" x14ac:dyDescent="0.25">
      <c r="E155" s="3"/>
      <c r="F155" s="9"/>
    </row>
    <row r="156" spans="5:6" x14ac:dyDescent="0.25">
      <c r="E156" s="3"/>
      <c r="F156" s="9"/>
    </row>
    <row r="157" spans="5:6" x14ac:dyDescent="0.25">
      <c r="E157" s="3"/>
      <c r="F157" s="9"/>
    </row>
    <row r="158" spans="5:6" x14ac:dyDescent="0.25">
      <c r="E158" s="3"/>
      <c r="F158" s="9"/>
    </row>
    <row r="159" spans="5:6" x14ac:dyDescent="0.25">
      <c r="E159" s="3"/>
      <c r="F159" s="9"/>
    </row>
    <row r="160" spans="5:6" x14ac:dyDescent="0.25">
      <c r="E160" s="3"/>
      <c r="F160" s="9"/>
    </row>
    <row r="161" spans="5:6" x14ac:dyDescent="0.25">
      <c r="E161" s="3"/>
      <c r="F161" s="9"/>
    </row>
    <row r="162" spans="5:6" x14ac:dyDescent="0.25">
      <c r="E162" s="3"/>
      <c r="F162" s="9"/>
    </row>
    <row r="163" spans="5:6" x14ac:dyDescent="0.25">
      <c r="E163" s="3"/>
      <c r="F163" s="9"/>
    </row>
    <row r="164" spans="5:6" x14ac:dyDescent="0.25">
      <c r="E164" s="3"/>
      <c r="F164" s="9"/>
    </row>
    <row r="165" spans="5:6" x14ac:dyDescent="0.25">
      <c r="E165" s="3"/>
      <c r="F165" s="9"/>
    </row>
    <row r="166" spans="5:6" x14ac:dyDescent="0.25">
      <c r="E166" s="3"/>
      <c r="F166" s="9"/>
    </row>
    <row r="167" spans="5:6" x14ac:dyDescent="0.25">
      <c r="E167" s="3"/>
      <c r="F167" s="9"/>
    </row>
    <row r="168" spans="5:6" x14ac:dyDescent="0.25">
      <c r="E168" s="3"/>
      <c r="F168" s="9"/>
    </row>
    <row r="169" spans="5:6" x14ac:dyDescent="0.25">
      <c r="E169" s="3"/>
      <c r="F169" s="9"/>
    </row>
    <row r="170" spans="5:6" x14ac:dyDescent="0.25">
      <c r="E170" s="3"/>
      <c r="F170" s="9"/>
    </row>
    <row r="171" spans="5:6" x14ac:dyDescent="0.25">
      <c r="E171" s="3"/>
      <c r="F171" s="9"/>
    </row>
    <row r="172" spans="5:6" x14ac:dyDescent="0.25">
      <c r="E172" s="3"/>
      <c r="F172" s="9"/>
    </row>
    <row r="173" spans="5:6" x14ac:dyDescent="0.25">
      <c r="E173" s="3"/>
      <c r="F173" s="9"/>
    </row>
    <row r="174" spans="5:6" x14ac:dyDescent="0.25">
      <c r="E174" s="3"/>
      <c r="F174" s="9"/>
    </row>
    <row r="175" spans="5:6" x14ac:dyDescent="0.25">
      <c r="E175" s="3"/>
      <c r="F175" s="9"/>
    </row>
    <row r="176" spans="5:6" x14ac:dyDescent="0.25">
      <c r="E176" s="3"/>
      <c r="F176" s="9"/>
    </row>
    <row r="177" spans="5:6" x14ac:dyDescent="0.25">
      <c r="E177" s="3"/>
      <c r="F177" s="9"/>
    </row>
    <row r="178" spans="5:6" x14ac:dyDescent="0.25">
      <c r="E178" s="3"/>
      <c r="F178" s="9"/>
    </row>
    <row r="179" spans="5:6" x14ac:dyDescent="0.25">
      <c r="E179" s="3"/>
      <c r="F179" s="9"/>
    </row>
    <row r="180" spans="5:6" x14ac:dyDescent="0.25">
      <c r="E180" s="3"/>
      <c r="F180" s="9"/>
    </row>
    <row r="181" spans="5:6" x14ac:dyDescent="0.25">
      <c r="E181" s="3"/>
      <c r="F181" s="9"/>
    </row>
    <row r="182" spans="5:6" x14ac:dyDescent="0.25">
      <c r="E182" s="3"/>
      <c r="F182" s="9"/>
    </row>
    <row r="183" spans="5:6" x14ac:dyDescent="0.25">
      <c r="E183" s="3"/>
      <c r="F183" s="9"/>
    </row>
    <row r="184" spans="5:6" x14ac:dyDescent="0.25">
      <c r="E184" s="3"/>
      <c r="F184" s="9"/>
    </row>
    <row r="185" spans="5:6" x14ac:dyDescent="0.25">
      <c r="E185" s="3"/>
      <c r="F185" s="9"/>
    </row>
    <row r="186" spans="5:6" x14ac:dyDescent="0.25">
      <c r="E186" s="3"/>
      <c r="F186" s="9"/>
    </row>
    <row r="187" spans="5:6" x14ac:dyDescent="0.25">
      <c r="E187" s="3"/>
      <c r="F187" s="9"/>
    </row>
    <row r="188" spans="5:6" x14ac:dyDescent="0.25">
      <c r="E188" s="3"/>
      <c r="F188" s="9"/>
    </row>
    <row r="189" spans="5:6" x14ac:dyDescent="0.25">
      <c r="E189" s="3"/>
      <c r="F189" s="9"/>
    </row>
    <row r="190" spans="5:6" x14ac:dyDescent="0.25">
      <c r="E190" s="3"/>
      <c r="F190" s="9"/>
    </row>
    <row r="191" spans="5:6" x14ac:dyDescent="0.25">
      <c r="E191" s="3"/>
      <c r="F191" s="9"/>
    </row>
    <row r="192" spans="5:6" x14ac:dyDescent="0.25">
      <c r="E192" s="3"/>
      <c r="F192" s="9"/>
    </row>
    <row r="193" spans="5:6" x14ac:dyDescent="0.25">
      <c r="E193" s="3"/>
      <c r="F193" s="9"/>
    </row>
    <row r="194" spans="5:6" x14ac:dyDescent="0.25">
      <c r="E194" s="3"/>
      <c r="F194" s="9"/>
    </row>
    <row r="195" spans="5:6" x14ac:dyDescent="0.25">
      <c r="E195" s="3"/>
      <c r="F195" s="9"/>
    </row>
    <row r="196" spans="5:6" x14ac:dyDescent="0.25">
      <c r="E196" s="3"/>
      <c r="F196" s="9"/>
    </row>
    <row r="197" spans="5:6" x14ac:dyDescent="0.25">
      <c r="E197" s="3"/>
      <c r="F197" s="9"/>
    </row>
  </sheetData>
  <mergeCells count="2">
    <mergeCell ref="B2:C2"/>
    <mergeCell ref="E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7</xdr:col>
                <xdr:colOff>9525</xdr:colOff>
                <xdr:row>11</xdr:row>
                <xdr:rowOff>0</xdr:rowOff>
              </from>
              <to>
                <xdr:col>8</xdr:col>
                <xdr:colOff>590550</xdr:colOff>
                <xdr:row>13</xdr:row>
                <xdr:rowOff>161925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autoPict="0" r:id="rId7">
            <anchor moveWithCells="1">
              <from>
                <xdr:col>6</xdr:col>
                <xdr:colOff>590550</xdr:colOff>
                <xdr:row>7</xdr:row>
                <xdr:rowOff>9525</xdr:rowOff>
              </from>
              <to>
                <xdr:col>8</xdr:col>
                <xdr:colOff>590550</xdr:colOff>
                <xdr:row>10</xdr:row>
                <xdr:rowOff>57150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C685-6F5C-4EF2-A6A0-705F6189D421}">
  <sheetPr codeName="Sheet2"/>
  <dimension ref="A1:AT70"/>
  <sheetViews>
    <sheetView topLeftCell="I1" zoomScale="55" zoomScaleNormal="55" workbookViewId="0">
      <selection activeCell="I34" sqref="I34"/>
    </sheetView>
  </sheetViews>
  <sheetFormatPr defaultColWidth="4.7109375" defaultRowHeight="15" x14ac:dyDescent="0.25"/>
  <cols>
    <col min="1" max="1" width="3.5703125" bestFit="1" customWidth="1"/>
    <col min="2" max="2" width="17.140625" bestFit="1" customWidth="1"/>
    <col min="3" max="3" width="10.7109375" style="11" customWidth="1"/>
    <col min="4" max="4" width="14.7109375" bestFit="1" customWidth="1"/>
    <col min="5" max="5" width="9.85546875" customWidth="1"/>
    <col min="6" max="6" width="14.42578125" style="19" bestFit="1" customWidth="1"/>
    <col min="7" max="7" width="10" bestFit="1" customWidth="1"/>
    <col min="8" max="8" width="11.85546875" bestFit="1" customWidth="1"/>
    <col min="9" max="9" width="14.7109375" bestFit="1" customWidth="1"/>
    <col min="10" max="10" width="11.5703125" bestFit="1" customWidth="1"/>
    <col min="11" max="11" width="14.42578125" bestFit="1" customWidth="1"/>
    <col min="12" max="12" width="10.5703125" style="10" customWidth="1"/>
    <col min="13" max="13" width="10.85546875" customWidth="1"/>
    <col min="14" max="14" width="15" bestFit="1" customWidth="1"/>
    <col min="15" max="15" width="15" customWidth="1"/>
    <col min="16" max="16" width="12.85546875" bestFit="1" customWidth="1"/>
    <col min="17" max="17" width="10.42578125" bestFit="1" customWidth="1"/>
    <col min="18" max="18" width="23.140625" customWidth="1"/>
    <col min="19" max="19" width="16.28515625" bestFit="1" customWidth="1"/>
    <col min="20" max="20" width="13.5703125" bestFit="1" customWidth="1"/>
    <col min="21" max="32" width="12.7109375" customWidth="1"/>
    <col min="33" max="33" width="10.7109375" customWidth="1"/>
    <col min="34" max="34" width="13.42578125" customWidth="1"/>
    <col min="35" max="35" width="11.85546875" customWidth="1"/>
    <col min="36" max="38" width="9.7109375" customWidth="1"/>
    <col min="39" max="39" width="10.5703125" customWidth="1"/>
    <col min="40" max="40" width="13.5703125" customWidth="1"/>
    <col min="41" max="41" width="10.140625" customWidth="1"/>
    <col min="42" max="44" width="9.7109375" customWidth="1"/>
    <col min="45" max="46" width="10.7109375" customWidth="1"/>
  </cols>
  <sheetData>
    <row r="1" spans="1:46" x14ac:dyDescent="0.25">
      <c r="A1" s="86" t="s">
        <v>289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 t="s">
        <v>278</v>
      </c>
      <c r="V1" s="86"/>
      <c r="W1" s="86"/>
      <c r="X1" s="86" t="s">
        <v>280</v>
      </c>
      <c r="Y1" s="86"/>
      <c r="Z1" s="86"/>
      <c r="AA1" s="86"/>
      <c r="AB1" s="86"/>
      <c r="AC1" s="86" t="s">
        <v>279</v>
      </c>
      <c r="AD1" s="86"/>
      <c r="AE1" s="86"/>
      <c r="AF1" s="63" t="s">
        <v>284</v>
      </c>
      <c r="AG1" s="87" t="s">
        <v>303</v>
      </c>
      <c r="AH1" s="88"/>
      <c r="AI1" s="89"/>
      <c r="AJ1" s="86" t="s">
        <v>293</v>
      </c>
      <c r="AK1" s="86"/>
      <c r="AL1" s="86"/>
      <c r="AM1" s="86"/>
      <c r="AN1" s="86" t="s">
        <v>294</v>
      </c>
      <c r="AO1" s="86"/>
      <c r="AP1" s="90" t="s">
        <v>300</v>
      </c>
      <c r="AQ1" s="91"/>
      <c r="AR1" s="91"/>
      <c r="AS1" s="91"/>
      <c r="AT1" s="92"/>
    </row>
    <row r="2" spans="1:46" s="10" customFormat="1" ht="43.5" customHeight="1" x14ac:dyDescent="0.25">
      <c r="A2" s="57" t="s">
        <v>151</v>
      </c>
      <c r="B2" s="57" t="s">
        <v>153</v>
      </c>
      <c r="C2" s="58" t="s">
        <v>152</v>
      </c>
      <c r="D2" s="57" t="s">
        <v>145</v>
      </c>
      <c r="E2" s="62" t="s">
        <v>287</v>
      </c>
      <c r="F2" s="57" t="s">
        <v>140</v>
      </c>
      <c r="G2" s="57" t="s">
        <v>141</v>
      </c>
      <c r="H2" s="57" t="s">
        <v>142</v>
      </c>
      <c r="I2" s="57" t="s">
        <v>143</v>
      </c>
      <c r="J2" s="62" t="s">
        <v>150</v>
      </c>
      <c r="K2" s="62" t="s">
        <v>144</v>
      </c>
      <c r="L2" s="62" t="s">
        <v>146</v>
      </c>
      <c r="M2" s="62" t="s">
        <v>147</v>
      </c>
      <c r="N2" s="62" t="s">
        <v>286</v>
      </c>
      <c r="O2" s="62" t="s">
        <v>305</v>
      </c>
      <c r="P2" s="57" t="s">
        <v>148</v>
      </c>
      <c r="Q2" s="62" t="s">
        <v>149</v>
      </c>
      <c r="R2" s="57" t="s">
        <v>161</v>
      </c>
      <c r="S2" s="57" t="s">
        <v>273</v>
      </c>
      <c r="T2" s="57" t="s">
        <v>162</v>
      </c>
      <c r="U2" s="57" t="s">
        <v>172</v>
      </c>
      <c r="V2" s="57" t="s">
        <v>281</v>
      </c>
      <c r="W2" s="57" t="s">
        <v>282</v>
      </c>
      <c r="X2" s="57" t="s">
        <v>172</v>
      </c>
      <c r="Y2" s="57" t="s">
        <v>281</v>
      </c>
      <c r="Z2" s="57" t="s">
        <v>295</v>
      </c>
      <c r="AA2" s="57" t="s">
        <v>296</v>
      </c>
      <c r="AB2" s="62" t="s">
        <v>297</v>
      </c>
      <c r="AC2" s="62" t="s">
        <v>283</v>
      </c>
      <c r="AD2" s="57" t="s">
        <v>172</v>
      </c>
      <c r="AE2" s="57" t="s">
        <v>281</v>
      </c>
      <c r="AF2" s="57" t="s">
        <v>282</v>
      </c>
      <c r="AG2" s="62" t="s">
        <v>290</v>
      </c>
      <c r="AH2" s="62" t="s">
        <v>292</v>
      </c>
      <c r="AI2" s="62" t="s">
        <v>291</v>
      </c>
      <c r="AJ2" s="57" t="s">
        <v>295</v>
      </c>
      <c r="AK2" s="57" t="s">
        <v>296</v>
      </c>
      <c r="AL2" s="57" t="s">
        <v>297</v>
      </c>
      <c r="AM2" s="57" t="s">
        <v>298</v>
      </c>
      <c r="AN2" s="57" t="s">
        <v>299</v>
      </c>
      <c r="AO2" s="57" t="s">
        <v>298</v>
      </c>
      <c r="AP2" s="57" t="s">
        <v>295</v>
      </c>
      <c r="AQ2" s="57" t="s">
        <v>296</v>
      </c>
      <c r="AR2" s="57" t="s">
        <v>297</v>
      </c>
      <c r="AS2" s="57" t="s">
        <v>301</v>
      </c>
      <c r="AT2" s="57" t="s">
        <v>302</v>
      </c>
    </row>
    <row r="3" spans="1:46" x14ac:dyDescent="0.25">
      <c r="G3" s="13"/>
    </row>
    <row r="4" spans="1:46" x14ac:dyDescent="0.25">
      <c r="G4" s="13"/>
    </row>
    <row r="5" spans="1:46" x14ac:dyDescent="0.25">
      <c r="G5" s="13"/>
    </row>
    <row r="6" spans="1:46" x14ac:dyDescent="0.25">
      <c r="G6" s="13"/>
    </row>
    <row r="7" spans="1:46" x14ac:dyDescent="0.25">
      <c r="G7" s="13"/>
    </row>
    <row r="8" spans="1:46" x14ac:dyDescent="0.25">
      <c r="G8" s="13"/>
    </row>
    <row r="9" spans="1:46" x14ac:dyDescent="0.25">
      <c r="G9" s="13"/>
    </row>
    <row r="10" spans="1:46" x14ac:dyDescent="0.25">
      <c r="G10" s="13"/>
    </row>
    <row r="11" spans="1:46" x14ac:dyDescent="0.25">
      <c r="G11" s="13"/>
    </row>
    <row r="12" spans="1:46" x14ac:dyDescent="0.25">
      <c r="G12" s="13"/>
    </row>
    <row r="13" spans="1:46" x14ac:dyDescent="0.25">
      <c r="G13" s="13"/>
    </row>
    <row r="14" spans="1:46" x14ac:dyDescent="0.25">
      <c r="G14" s="13"/>
    </row>
    <row r="15" spans="1:46" ht="13.5" customHeight="1" x14ac:dyDescent="0.25">
      <c r="G15" s="13"/>
    </row>
    <row r="16" spans="1:46" x14ac:dyDescent="0.25">
      <c r="G16" s="13"/>
    </row>
    <row r="17" spans="7:7" x14ac:dyDescent="0.25">
      <c r="G17" s="13"/>
    </row>
    <row r="18" spans="7:7" x14ac:dyDescent="0.25">
      <c r="G18" s="13"/>
    </row>
    <row r="19" spans="7:7" x14ac:dyDescent="0.25">
      <c r="G19" s="13"/>
    </row>
    <row r="20" spans="7:7" x14ac:dyDescent="0.25">
      <c r="G20" s="13"/>
    </row>
    <row r="21" spans="7:7" x14ac:dyDescent="0.25">
      <c r="G21" s="13"/>
    </row>
    <row r="22" spans="7:7" x14ac:dyDescent="0.25">
      <c r="G22" s="13"/>
    </row>
    <row r="23" spans="7:7" x14ac:dyDescent="0.25">
      <c r="G23" s="13"/>
    </row>
    <row r="24" spans="7:7" x14ac:dyDescent="0.25">
      <c r="G24" s="13"/>
    </row>
    <row r="25" spans="7:7" x14ac:dyDescent="0.25">
      <c r="G25" s="13"/>
    </row>
    <row r="26" spans="7:7" x14ac:dyDescent="0.25">
      <c r="G26" s="13"/>
    </row>
    <row r="27" spans="7:7" x14ac:dyDescent="0.25">
      <c r="G27" s="13"/>
    </row>
    <row r="28" spans="7:7" x14ac:dyDescent="0.25">
      <c r="G28" s="13"/>
    </row>
    <row r="29" spans="7:7" x14ac:dyDescent="0.25">
      <c r="G29" s="13"/>
    </row>
    <row r="30" spans="7:7" x14ac:dyDescent="0.25">
      <c r="G30" s="13"/>
    </row>
    <row r="31" spans="7:7" x14ac:dyDescent="0.25">
      <c r="G31" s="13"/>
    </row>
    <row r="32" spans="7:7" x14ac:dyDescent="0.25">
      <c r="G32" s="13"/>
    </row>
    <row r="33" spans="7:16" x14ac:dyDescent="0.25">
      <c r="G33" s="13"/>
    </row>
    <row r="34" spans="7:16" x14ac:dyDescent="0.25">
      <c r="G34" s="13"/>
    </row>
    <row r="35" spans="7:16" x14ac:dyDescent="0.25">
      <c r="G35" s="13"/>
    </row>
    <row r="36" spans="7:16" x14ac:dyDescent="0.25">
      <c r="G36" s="13"/>
    </row>
    <row r="37" spans="7:16" x14ac:dyDescent="0.25">
      <c r="I37" s="67"/>
      <c r="P37" s="71"/>
    </row>
    <row r="38" spans="7:16" x14ac:dyDescent="0.25">
      <c r="I38" s="67"/>
      <c r="P38" s="71"/>
    </row>
    <row r="39" spans="7:16" x14ac:dyDescent="0.25">
      <c r="I39" s="67"/>
      <c r="P39" s="71"/>
    </row>
    <row r="40" spans="7:16" x14ac:dyDescent="0.25">
      <c r="I40" s="72"/>
      <c r="P40" s="71"/>
    </row>
    <row r="41" spans="7:16" x14ac:dyDescent="0.25">
      <c r="I41" s="67"/>
      <c r="P41" s="71"/>
    </row>
    <row r="42" spans="7:16" x14ac:dyDescent="0.25">
      <c r="I42" s="67"/>
      <c r="P42" s="71"/>
    </row>
    <row r="43" spans="7:16" x14ac:dyDescent="0.25">
      <c r="I43" s="67"/>
      <c r="P43" s="71"/>
    </row>
    <row r="44" spans="7:16" x14ac:dyDescent="0.25">
      <c r="I44" s="72"/>
      <c r="P44" s="71"/>
    </row>
    <row r="45" spans="7:16" x14ac:dyDescent="0.25">
      <c r="I45" s="67"/>
      <c r="P45" s="71"/>
    </row>
    <row r="46" spans="7:16" x14ac:dyDescent="0.25">
      <c r="I46" s="67"/>
      <c r="P46" s="71"/>
    </row>
    <row r="47" spans="7:16" x14ac:dyDescent="0.25">
      <c r="I47" s="67"/>
      <c r="P47" s="71"/>
    </row>
    <row r="48" spans="7:16" x14ac:dyDescent="0.25">
      <c r="I48" s="67"/>
      <c r="P48" s="71"/>
    </row>
    <row r="49" spans="3:16" x14ac:dyDescent="0.25">
      <c r="I49" s="72"/>
      <c r="P49" s="71"/>
    </row>
    <row r="50" spans="3:16" x14ac:dyDescent="0.25">
      <c r="I50" s="67"/>
      <c r="P50" s="71"/>
    </row>
    <row r="51" spans="3:16" x14ac:dyDescent="0.25">
      <c r="I51" s="67"/>
      <c r="P51" s="71"/>
    </row>
    <row r="52" spans="3:16" x14ac:dyDescent="0.25">
      <c r="I52" s="67"/>
      <c r="P52" s="71"/>
    </row>
    <row r="53" spans="3:16" x14ac:dyDescent="0.25">
      <c r="C53" s="10"/>
    </row>
    <row r="55" spans="3:16" x14ac:dyDescent="0.25">
      <c r="C55" s="10"/>
    </row>
    <row r="56" spans="3:16" x14ac:dyDescent="0.25">
      <c r="C56" s="10"/>
    </row>
    <row r="57" spans="3:16" x14ac:dyDescent="0.25">
      <c r="C57" s="10"/>
    </row>
    <row r="61" spans="3:16" x14ac:dyDescent="0.25">
      <c r="C61" s="10"/>
    </row>
    <row r="62" spans="3:16" x14ac:dyDescent="0.25">
      <c r="C62" s="10"/>
    </row>
    <row r="65" spans="3:7" x14ac:dyDescent="0.25">
      <c r="C65" s="10"/>
    </row>
    <row r="66" spans="3:7" x14ac:dyDescent="0.25">
      <c r="C66" s="10"/>
    </row>
    <row r="67" spans="3:7" x14ac:dyDescent="0.25">
      <c r="C67" s="10"/>
    </row>
    <row r="68" spans="3:7" x14ac:dyDescent="0.25">
      <c r="C68" s="10"/>
    </row>
    <row r="69" spans="3:7" x14ac:dyDescent="0.25">
      <c r="C69" s="10"/>
    </row>
    <row r="70" spans="3:7" x14ac:dyDescent="0.25">
      <c r="G70" s="13"/>
    </row>
  </sheetData>
  <mergeCells count="8">
    <mergeCell ref="A1:T1"/>
    <mergeCell ref="AG1:AI1"/>
    <mergeCell ref="AJ1:AM1"/>
    <mergeCell ref="AN1:AO1"/>
    <mergeCell ref="AP1:AT1"/>
    <mergeCell ref="U1:W1"/>
    <mergeCell ref="X1:AB1"/>
    <mergeCell ref="AC1:AE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B948-CCDC-474F-878A-44610FCA1919}">
  <sheetPr codeName="Sheet4"/>
  <dimension ref="A2:N41"/>
  <sheetViews>
    <sheetView zoomScale="85" zoomScaleNormal="85" workbookViewId="0">
      <selection activeCell="G3" sqref="G3"/>
    </sheetView>
  </sheetViews>
  <sheetFormatPr defaultRowHeight="15" x14ac:dyDescent="0.25"/>
  <cols>
    <col min="2" max="2" width="13.85546875" customWidth="1"/>
    <col min="3" max="3" width="30.7109375" bestFit="1" customWidth="1"/>
    <col min="4" max="4" width="18.5703125" customWidth="1"/>
    <col min="5" max="5" width="20.5703125" bestFit="1" customWidth="1"/>
    <col min="6" max="7" width="21.42578125" customWidth="1"/>
    <col min="8" max="8" width="30.140625" bestFit="1" customWidth="1"/>
    <col min="9" max="9" width="13.5703125" bestFit="1" customWidth="1"/>
  </cols>
  <sheetData>
    <row r="2" spans="1:14" ht="33.75" x14ac:dyDescent="0.5">
      <c r="A2" s="93" t="s">
        <v>164</v>
      </c>
      <c r="B2" s="93"/>
      <c r="C2" s="93"/>
      <c r="D2" s="93"/>
      <c r="E2" s="93"/>
      <c r="F2" s="93"/>
      <c r="G2" s="93"/>
      <c r="H2" s="93"/>
      <c r="I2" s="93"/>
      <c r="J2" s="18"/>
    </row>
    <row r="3" spans="1:14" ht="18.75" x14ac:dyDescent="0.3">
      <c r="A3" s="98" t="s">
        <v>165</v>
      </c>
      <c r="B3" s="98"/>
      <c r="C3" s="98"/>
      <c r="H3" s="55">
        <v>44866</v>
      </c>
      <c r="M3" s="12"/>
      <c r="N3" s="12"/>
    </row>
    <row r="5" spans="1:14" x14ac:dyDescent="0.25">
      <c r="A5" s="97" t="s">
        <v>156</v>
      </c>
      <c r="B5" s="97" t="s">
        <v>157</v>
      </c>
      <c r="C5" s="97" t="s">
        <v>158</v>
      </c>
      <c r="D5" s="97" t="s">
        <v>148</v>
      </c>
      <c r="E5" s="97" t="s">
        <v>159</v>
      </c>
      <c r="F5" s="94" t="s">
        <v>160</v>
      </c>
      <c r="G5" s="94" t="s">
        <v>143</v>
      </c>
      <c r="H5" s="97" t="s">
        <v>161</v>
      </c>
      <c r="I5" s="97" t="s">
        <v>162</v>
      </c>
    </row>
    <row r="6" spans="1:14" x14ac:dyDescent="0.25">
      <c r="A6" s="97"/>
      <c r="B6" s="97"/>
      <c r="C6" s="97"/>
      <c r="D6" s="97"/>
      <c r="E6" s="97"/>
      <c r="F6" s="95"/>
      <c r="G6" s="95"/>
      <c r="H6" s="97"/>
      <c r="I6" s="97"/>
    </row>
    <row r="7" spans="1:14" x14ac:dyDescent="0.25">
      <c r="A7" s="97"/>
      <c r="B7" s="97"/>
      <c r="C7" s="97"/>
      <c r="D7" s="97"/>
      <c r="E7" s="97"/>
      <c r="F7" s="96"/>
      <c r="G7" s="96"/>
      <c r="H7" s="97"/>
      <c r="I7" s="97"/>
    </row>
    <row r="8" spans="1:14" x14ac:dyDescent="0.25">
      <c r="B8" s="19"/>
      <c r="C8" s="53"/>
      <c r="F8" s="77"/>
    </row>
    <row r="9" spans="1:14" x14ac:dyDescent="0.25">
      <c r="B9" s="19"/>
      <c r="C9" s="54"/>
      <c r="F9" s="54"/>
    </row>
    <row r="10" spans="1:14" x14ac:dyDescent="0.25">
      <c r="B10" s="19"/>
      <c r="C10" s="54"/>
      <c r="F10" s="54"/>
    </row>
    <row r="11" spans="1:14" x14ac:dyDescent="0.25">
      <c r="B11" s="19"/>
      <c r="C11" s="54"/>
      <c r="F11" s="54"/>
    </row>
    <row r="12" spans="1:14" ht="12.75" customHeight="1" x14ac:dyDescent="0.25">
      <c r="B12" s="19"/>
      <c r="C12" s="54"/>
      <c r="F12" s="54"/>
    </row>
    <row r="13" spans="1:14" ht="12.75" customHeight="1" x14ac:dyDescent="0.25">
      <c r="B13" s="19"/>
      <c r="C13" s="53"/>
      <c r="F13" s="54"/>
    </row>
    <row r="14" spans="1:14" x14ac:dyDescent="0.25">
      <c r="B14" s="19"/>
      <c r="C14" s="53"/>
      <c r="F14" s="54"/>
    </row>
    <row r="15" spans="1:14" x14ac:dyDescent="0.25">
      <c r="B15" s="19"/>
      <c r="C15" s="54"/>
      <c r="F15" s="54"/>
    </row>
    <row r="16" spans="1:14" x14ac:dyDescent="0.25">
      <c r="B16" s="19"/>
      <c r="C16" s="54"/>
      <c r="F16" s="54"/>
    </row>
    <row r="17" spans="2:6" x14ac:dyDescent="0.25">
      <c r="B17" s="19"/>
      <c r="C17" s="54"/>
      <c r="F17" s="54"/>
    </row>
    <row r="18" spans="2:6" s="54" customFormat="1" x14ac:dyDescent="0.25">
      <c r="B18" s="56"/>
      <c r="C18" s="53"/>
    </row>
    <row r="19" spans="2:6" x14ac:dyDescent="0.25">
      <c r="B19" s="19"/>
      <c r="C19" s="54"/>
      <c r="F19" s="54"/>
    </row>
    <row r="20" spans="2:6" x14ac:dyDescent="0.25">
      <c r="B20" s="19"/>
      <c r="C20" s="54"/>
      <c r="F20" s="54"/>
    </row>
    <row r="21" spans="2:6" x14ac:dyDescent="0.25">
      <c r="B21" s="19"/>
      <c r="F21" s="20"/>
    </row>
    <row r="22" spans="2:6" x14ac:dyDescent="0.25">
      <c r="B22" s="19"/>
      <c r="F22" s="20"/>
    </row>
    <row r="23" spans="2:6" x14ac:dyDescent="0.25">
      <c r="B23" s="19"/>
    </row>
    <row r="24" spans="2:6" x14ac:dyDescent="0.25">
      <c r="B24" s="19"/>
    </row>
    <row r="25" spans="2:6" x14ac:dyDescent="0.25">
      <c r="B25" s="19"/>
    </row>
    <row r="26" spans="2:6" x14ac:dyDescent="0.25">
      <c r="B26" s="19"/>
    </row>
    <row r="27" spans="2:6" x14ac:dyDescent="0.25">
      <c r="B27" s="19"/>
    </row>
    <row r="28" spans="2:6" x14ac:dyDescent="0.25">
      <c r="B28" s="19"/>
    </row>
    <row r="29" spans="2:6" x14ac:dyDescent="0.25">
      <c r="B29" s="19"/>
    </row>
    <row r="30" spans="2:6" x14ac:dyDescent="0.25">
      <c r="B30" s="19"/>
    </row>
    <row r="31" spans="2:6" x14ac:dyDescent="0.25">
      <c r="B31" s="19"/>
    </row>
    <row r="32" spans="2:6" x14ac:dyDescent="0.25">
      <c r="B32" s="19"/>
    </row>
    <row r="33" spans="2:2" x14ac:dyDescent="0.25">
      <c r="B33" s="19"/>
    </row>
    <row r="34" spans="2:2" x14ac:dyDescent="0.25">
      <c r="B34" s="19"/>
    </row>
    <row r="35" spans="2:2" x14ac:dyDescent="0.25">
      <c r="B35" s="19"/>
    </row>
    <row r="36" spans="2:2" x14ac:dyDescent="0.25">
      <c r="B36" s="19"/>
    </row>
    <row r="37" spans="2:2" x14ac:dyDescent="0.25">
      <c r="B37" s="19"/>
    </row>
    <row r="38" spans="2:2" x14ac:dyDescent="0.25">
      <c r="B38" s="19"/>
    </row>
    <row r="39" spans="2:2" x14ac:dyDescent="0.25">
      <c r="B39" s="19"/>
    </row>
    <row r="40" spans="2:2" x14ac:dyDescent="0.25">
      <c r="B40" s="19"/>
    </row>
    <row r="41" spans="2:2" x14ac:dyDescent="0.25">
      <c r="B41" s="19"/>
    </row>
  </sheetData>
  <mergeCells count="11">
    <mergeCell ref="A2:I2"/>
    <mergeCell ref="F5:F7"/>
    <mergeCell ref="G5:G7"/>
    <mergeCell ref="I5:I7"/>
    <mergeCell ref="A3:C3"/>
    <mergeCell ref="E5:E7"/>
    <mergeCell ref="D5:D7"/>
    <mergeCell ref="C5:C7"/>
    <mergeCell ref="B5:B7"/>
    <mergeCell ref="A5:A7"/>
    <mergeCell ref="H5:H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9</xdr:col>
                <xdr:colOff>266700</xdr:colOff>
                <xdr:row>9</xdr:row>
                <xdr:rowOff>180975</xdr:rowOff>
              </from>
              <to>
                <xdr:col>12</xdr:col>
                <xdr:colOff>257175</xdr:colOff>
                <xdr:row>15</xdr:row>
                <xdr:rowOff>47625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9</xdr:col>
                <xdr:colOff>266700</xdr:colOff>
                <xdr:row>15</xdr:row>
                <xdr:rowOff>66675</xdr:rowOff>
              </from>
              <to>
                <xdr:col>12</xdr:col>
                <xdr:colOff>257175</xdr:colOff>
                <xdr:row>20</xdr:row>
                <xdr:rowOff>66675</xdr:rowOff>
              </to>
            </anchor>
          </controlPr>
        </control>
      </mc:Choice>
      <mc:Fallback>
        <control shapeId="5122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2224-9475-4F3F-BEC0-6CBBEA3B7B5D}">
  <sheetPr codeName="Sheet7"/>
  <dimension ref="A2:BH62"/>
  <sheetViews>
    <sheetView topLeftCell="R1" zoomScale="55" zoomScaleNormal="55" workbookViewId="0">
      <selection activeCell="AW29" sqref="AW29"/>
    </sheetView>
  </sheetViews>
  <sheetFormatPr defaultRowHeight="15" x14ac:dyDescent="0.25"/>
  <cols>
    <col min="1" max="1" width="9.140625" customWidth="1"/>
    <col min="3" max="3" width="26.5703125" bestFit="1" customWidth="1"/>
    <col min="11" max="11" width="12.85546875" bestFit="1" customWidth="1"/>
    <col min="14" max="14" width="10.85546875" bestFit="1" customWidth="1"/>
    <col min="17" max="17" width="11" bestFit="1" customWidth="1"/>
    <col min="24" max="24" width="10" customWidth="1"/>
    <col min="27" max="27" width="8.85546875" customWidth="1"/>
    <col min="29" max="29" width="12.140625" bestFit="1" customWidth="1"/>
    <col min="30" max="32" width="8.85546875" customWidth="1"/>
    <col min="34" max="34" width="12.140625" bestFit="1" customWidth="1"/>
    <col min="35" max="37" width="8.85546875" customWidth="1"/>
    <col min="39" max="39" width="12.140625" bestFit="1" customWidth="1"/>
    <col min="40" max="42" width="8.85546875" customWidth="1"/>
    <col min="44" max="44" width="14.28515625" bestFit="1" customWidth="1"/>
    <col min="45" max="47" width="8.85546875" customWidth="1"/>
  </cols>
  <sheetData>
    <row r="2" spans="1:60" s="69" customFormat="1" ht="30" x14ac:dyDescent="0.25">
      <c r="A2" s="57" t="s">
        <v>140</v>
      </c>
      <c r="B2" s="57" t="s">
        <v>140</v>
      </c>
      <c r="C2" s="57" t="s">
        <v>318</v>
      </c>
      <c r="E2" s="57" t="s">
        <v>145</v>
      </c>
      <c r="F2" s="57" t="s">
        <v>322</v>
      </c>
      <c r="H2" s="57" t="s">
        <v>273</v>
      </c>
      <c r="I2" s="57" t="s">
        <v>322</v>
      </c>
      <c r="K2" s="70" t="s">
        <v>148</v>
      </c>
      <c r="L2" s="57" t="s">
        <v>318</v>
      </c>
      <c r="N2" s="68" t="s">
        <v>319</v>
      </c>
      <c r="O2" s="70" t="s">
        <v>318</v>
      </c>
      <c r="Q2" s="73"/>
      <c r="R2" s="74" t="s">
        <v>166</v>
      </c>
      <c r="S2" s="74" t="s">
        <v>211</v>
      </c>
      <c r="T2" s="74" t="s">
        <v>236</v>
      </c>
      <c r="U2" s="74" t="s">
        <v>288</v>
      </c>
      <c r="V2" s="74" t="s">
        <v>266</v>
      </c>
      <c r="X2" s="57" t="s">
        <v>323</v>
      </c>
      <c r="Y2" s="57" t="s">
        <v>172</v>
      </c>
      <c r="Z2" s="57" t="s">
        <v>173</v>
      </c>
      <c r="AB2" s="57" t="s">
        <v>324</v>
      </c>
      <c r="AC2" s="57" t="s">
        <v>172</v>
      </c>
      <c r="AD2" s="57" t="s">
        <v>173</v>
      </c>
      <c r="AF2" s="57" t="s">
        <v>325</v>
      </c>
      <c r="AG2" s="57" t="s">
        <v>172</v>
      </c>
      <c r="AH2" s="57" t="s">
        <v>173</v>
      </c>
      <c r="AJ2" s="57" t="s">
        <v>327</v>
      </c>
      <c r="AK2" s="57" t="s">
        <v>172</v>
      </c>
      <c r="AL2" s="57" t="s">
        <v>173</v>
      </c>
      <c r="AM2"/>
      <c r="AN2" s="57" t="s">
        <v>326</v>
      </c>
      <c r="AO2" s="57" t="s">
        <v>172</v>
      </c>
      <c r="AP2" s="57" t="s">
        <v>173</v>
      </c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</row>
    <row r="3" spans="1:60" x14ac:dyDescent="0.25">
      <c r="A3" s="75">
        <v>44805</v>
      </c>
      <c r="B3" s="21">
        <v>1</v>
      </c>
      <c r="C3" s="21">
        <f>COUNTIF(DataReport!$A$2:$AT$999,Charts!A3)</f>
        <v>0</v>
      </c>
      <c r="E3" s="73" t="s">
        <v>323</v>
      </c>
      <c r="F3" s="21">
        <f>COUNTIF(DataReport!$D$2:$D$999,Charts!E3)</f>
        <v>0</v>
      </c>
      <c r="H3" s="21" t="s">
        <v>172</v>
      </c>
      <c r="I3" s="21">
        <f>COUNTIF(DataReport!$S$2:$S$999,Charts!H3)</f>
        <v>0</v>
      </c>
      <c r="K3" s="76" t="s">
        <v>166</v>
      </c>
      <c r="L3" s="21">
        <f>COUNTIF(DataReport!$P$2:$P$999,Charts!K3)</f>
        <v>0</v>
      </c>
      <c r="N3" s="75" t="s">
        <v>312</v>
      </c>
      <c r="O3" s="21">
        <f>COUNTIF(DataReport!$H$2:$H$999,Charts!N3)</f>
        <v>0</v>
      </c>
      <c r="Q3" s="73" t="s">
        <v>323</v>
      </c>
      <c r="R3" s="21">
        <f>COUNTIFS(DataReport!$P$2:$P$999,Charts!$S$2,DataReport!$D$2:$D$999,Charts!$Q3)</f>
        <v>0</v>
      </c>
      <c r="S3" s="21">
        <f>COUNTIFS(DataReport!$P$2:$P$999,Charts!$S$2,DataReport!$D$2:$D$999,Charts!$Q3)</f>
        <v>0</v>
      </c>
      <c r="T3" s="21">
        <f>COUNTIFS(DataReport!$P$2:$P$999,Charts!$T$2,DataReport!$D$2:$D$999,Charts!$Q3)</f>
        <v>0</v>
      </c>
      <c r="U3" s="21">
        <f>COUNTIFS(DataReport!$P$2:$P$999,Charts!$U$2,DataReport!$D$2:$D$999,Charts!$Q3)</f>
        <v>0</v>
      </c>
      <c r="V3" s="21">
        <f>COUNTIFS(DataReport!$P$2:$P$999,Charts!$V$2,DataReport!$D$2:$D$999,Charts!$Q3)</f>
        <v>0</v>
      </c>
      <c r="X3" s="75">
        <v>44805</v>
      </c>
      <c r="Y3" s="21">
        <f>COUNTIFS(DataReport!$D$3:$D$999,Charts!$X$2,DataReport!$F$3:$F$999,Charts!X3,DataReport!$S$3:$S$999,Charts!$Y$2)</f>
        <v>0</v>
      </c>
      <c r="Z3" s="21">
        <f>COUNTIFS(DataReport!$D$3:$D$999,Charts!$X$2,DataReport!$F$3:$F$999,Charts!X3,DataReport!$S$3:$S$999,Charts!$Z$2)</f>
        <v>0</v>
      </c>
      <c r="AB3" s="75">
        <v>44805</v>
      </c>
      <c r="AC3" s="21">
        <f>COUNTIFS(DataReport!$D$3:$D$999,Charts!$AB$2,DataReport!$F$3:$F$999,Charts!AB3,DataReport!$S$3:$S$999,Charts!$AC$2)</f>
        <v>0</v>
      </c>
      <c r="AD3" s="21">
        <f>COUNTIFS(DataReport!$D$3:$D$999,Charts!$AB$2,DataReport!$F$3:$F$999,Charts!AB3,DataReport!$S$3:$S$999,Charts!$AD$2)</f>
        <v>0</v>
      </c>
      <c r="AF3" s="75">
        <v>44805</v>
      </c>
      <c r="AG3" s="21">
        <f>COUNTIFS(DataReport!$D$3:$D$999,Charts!$AF$2,DataReport!$F$3:$F$999,Charts!AF3,DataReport!$S$3:$S$999,Charts!$AG$2)</f>
        <v>0</v>
      </c>
      <c r="AH3" s="21">
        <f>COUNTIFS(DataReport!$D$3:$D$999,Charts!$AF$2,DataReport!$F$3:$F$999,Charts!AF3,DataReport!$S$3:$S$999,Charts!$AH$2)</f>
        <v>0</v>
      </c>
      <c r="AJ3" s="75">
        <v>44805</v>
      </c>
      <c r="AK3" s="21">
        <f>COUNTIFS(DataReport!$D$3:$D$999,Charts!$AJ$2,DataReport!$F$3:$F$999,Charts!AJ3,DataReport!$S$3:$S$999,Charts!$AK$2)</f>
        <v>0</v>
      </c>
      <c r="AL3" s="21">
        <f>COUNTIFS(DataReport!$D$3:$D$999,Charts!$AJ$2,DataReport!$F$3:$F$999,Charts!AJ3,DataReport!$S$3:$S$999,Charts!$AL$2)</f>
        <v>0</v>
      </c>
      <c r="AM3" s="69"/>
      <c r="AN3" s="75">
        <v>44805</v>
      </c>
      <c r="AO3" s="21">
        <f>COUNTIFS(DataReport!$D$3:$D$999,Charts!$AN$2,DataReport!$F$3:$F$999,Charts!AN3,DataReport!$S$3:$S$999,Charts!$AO$2)</f>
        <v>0</v>
      </c>
      <c r="AP3" s="21">
        <f>COUNTIFS(DataReport!$D$3:$D$999,Charts!$AN$2,DataReport!$F$3:$F$999,Charts!AN3,DataReport!$S$3:$S$999,Charts!$AP$2)</f>
        <v>0</v>
      </c>
    </row>
    <row r="4" spans="1:60" x14ac:dyDescent="0.25">
      <c r="A4" s="75">
        <v>44806</v>
      </c>
      <c r="B4" s="21">
        <v>2</v>
      </c>
      <c r="C4" s="21">
        <f>COUNTIF(DataReport!$A$2:$AT$999,Charts!A4)</f>
        <v>0</v>
      </c>
      <c r="E4" s="73" t="s">
        <v>324</v>
      </c>
      <c r="F4" s="21">
        <f>COUNTIF(DataReport!$D$2:$D$999,Charts!E4)</f>
        <v>0</v>
      </c>
      <c r="H4" s="21" t="s">
        <v>173</v>
      </c>
      <c r="I4" s="21">
        <f>COUNTIF(DataReport!$S$2:$S$999,Charts!H4)</f>
        <v>0</v>
      </c>
      <c r="K4" s="76" t="s">
        <v>211</v>
      </c>
      <c r="L4" s="21">
        <f>COUNTIF(DataReport!$P$2:$P$999,Charts!K4)</f>
        <v>0</v>
      </c>
      <c r="N4" s="75" t="s">
        <v>313</v>
      </c>
      <c r="O4" s="21">
        <f>COUNTIF(DataReport!$H$2:$H$999,Charts!N4)</f>
        <v>0</v>
      </c>
      <c r="Q4" s="73" t="s">
        <v>324</v>
      </c>
      <c r="R4" s="21">
        <f>COUNTIFS(DataReport!$P$2:$P$999,Charts!$S$2,DataReport!$D$2:$D$999,Charts!$Q4)</f>
        <v>0</v>
      </c>
      <c r="S4" s="21">
        <f>COUNTIFS(DataReport!$P$2:$P$999,Charts!$S$2,DataReport!$D$2:$D$999,Charts!$Q4)</f>
        <v>0</v>
      </c>
      <c r="T4" s="21">
        <f>COUNTIFS(DataReport!$P$2:$P$999,Charts!$T$2,DataReport!$D$2:$D$999,Charts!$Q4)</f>
        <v>0</v>
      </c>
      <c r="U4" s="21">
        <f>COUNTIFS(DataReport!$P$2:$P$999,Charts!$U$2,DataReport!$D$2:$D$999,Charts!$Q4)</f>
        <v>0</v>
      </c>
      <c r="V4" s="21">
        <f>COUNTIFS(DataReport!$P$2:$P$999,Charts!$V$2,DataReport!$D$2:$D$999,Charts!$Q4)</f>
        <v>0</v>
      </c>
      <c r="X4" s="75">
        <v>44806</v>
      </c>
      <c r="Y4" s="21">
        <f>COUNTIFS(DataReport!$D$3:$D$999,Charts!$X$2,DataReport!$F$3:$F$999,Charts!X4,DataReport!$S$3:$S$999,Charts!$Y$2)</f>
        <v>0</v>
      </c>
      <c r="Z4" s="21">
        <f>COUNTIFS(DataReport!$D$3:$D$999,Charts!$X$2,DataReport!$F$3:$F$999,Charts!X4,DataReport!$S$3:$S$999,Charts!$Z$2)</f>
        <v>0</v>
      </c>
      <c r="AB4" s="75">
        <v>44806</v>
      </c>
      <c r="AC4" s="21">
        <f>COUNTIFS(DataReport!$D$3:$D$999,Charts!$AB$2,DataReport!$F$3:$F$999,Charts!AB4,DataReport!$S$3:$S$999,Charts!$AC$2)</f>
        <v>0</v>
      </c>
      <c r="AD4" s="21">
        <f>COUNTIFS(DataReport!$D$3:$D$999,Charts!$AB$2,DataReport!$F$3:$F$999,Charts!AB4,DataReport!$S$3:$S$999,Charts!$AD$2)</f>
        <v>0</v>
      </c>
      <c r="AF4" s="75">
        <v>44806</v>
      </c>
      <c r="AG4" s="21">
        <f>COUNTIFS(DataReport!$D$3:$D$999,Charts!$AF$2,DataReport!$F$3:$F$999,Charts!AF4,DataReport!$S$3:$S$999,Charts!$AG$2)</f>
        <v>0</v>
      </c>
      <c r="AH4" s="21">
        <f>COUNTIFS(DataReport!$D$3:$D$999,Charts!$AF$2,DataReport!$F$3:$F$999,Charts!AF4,DataReport!$S$3:$S$999,Charts!$AH$2)</f>
        <v>0</v>
      </c>
      <c r="AJ4" s="75">
        <v>44806</v>
      </c>
      <c r="AK4" s="21">
        <f>COUNTIFS(DataReport!$D$3:$D$999,Charts!$AJ$2,DataReport!$F$3:$F$999,Charts!AJ4,DataReport!$S$3:$S$999,Charts!$AK$2)</f>
        <v>0</v>
      </c>
      <c r="AL4" s="21">
        <f>COUNTIFS(DataReport!$D$3:$D$999,Charts!$AJ$2,DataReport!$F$3:$F$999,Charts!AJ4,DataReport!$S$3:$S$999,Charts!$AL$2)</f>
        <v>0</v>
      </c>
      <c r="AN4" s="75">
        <v>44806</v>
      </c>
      <c r="AO4" s="21">
        <f>COUNTIFS(DataReport!$D$3:$D$999,Charts!$AN$2,DataReport!$F$3:$F$999,Charts!AN4,DataReport!$S$3:$S$999,Charts!$AO$2)</f>
        <v>0</v>
      </c>
      <c r="AP4" s="21">
        <f>COUNTIFS(DataReport!$D$3:$D$999,Charts!$AN$2,DataReport!$F$3:$F$999,Charts!AN4,DataReport!$S$3:$S$999,Charts!$AP$2)</f>
        <v>0</v>
      </c>
    </row>
    <row r="5" spans="1:60" x14ac:dyDescent="0.25">
      <c r="A5" s="75">
        <v>44807</v>
      </c>
      <c r="B5" s="21">
        <v>3</v>
      </c>
      <c r="C5" s="21">
        <f>COUNTIF(DataReport!$A$2:$AT$999,Charts!A5)</f>
        <v>0</v>
      </c>
      <c r="E5" s="73" t="s">
        <v>325</v>
      </c>
      <c r="F5" s="21">
        <f>COUNTIF(DataReport!$D$2:$D$999,Charts!E5)</f>
        <v>0</v>
      </c>
      <c r="K5" s="76" t="s">
        <v>236</v>
      </c>
      <c r="L5" s="21">
        <f>COUNTIF(DataReport!$P$2:$P$999,Charts!K5)</f>
        <v>0</v>
      </c>
      <c r="N5" s="75" t="s">
        <v>315</v>
      </c>
      <c r="O5" s="21">
        <f>COUNTIF(DataReport!$H$2:$H$999,Charts!N5)</f>
        <v>0</v>
      </c>
      <c r="Q5" s="73" t="s">
        <v>325</v>
      </c>
      <c r="R5" s="21">
        <f>COUNTIFS(DataReport!$P$2:$P$999,Charts!$S$2,DataReport!$D$2:$D$999,Charts!$Q5)</f>
        <v>0</v>
      </c>
      <c r="S5" s="21">
        <f>COUNTIFS(DataReport!$P$2:$P$999,Charts!$S$2,DataReport!$D$2:$D$999,Charts!$Q5)</f>
        <v>0</v>
      </c>
      <c r="T5" s="21">
        <f>COUNTIFS(DataReport!$P$2:$P$999,Charts!$T$2,DataReport!$D$2:$D$999,Charts!$Q5)</f>
        <v>0</v>
      </c>
      <c r="U5" s="21">
        <f>COUNTIFS(DataReport!$P$2:$P$999,Charts!$U$2,DataReport!$D$2:$D$999,Charts!$Q5)</f>
        <v>0</v>
      </c>
      <c r="V5" s="21">
        <f>COUNTIFS(DataReport!$P$2:$P$999,Charts!$V$2,DataReport!$D$2:$D$999,Charts!$Q5)</f>
        <v>0</v>
      </c>
      <c r="X5" s="75">
        <v>44807</v>
      </c>
      <c r="Y5" s="21">
        <f>COUNTIFS(DataReport!$D$3:$D$999,Charts!$X$2,DataReport!$F$3:$F$999,Charts!X5,DataReport!$S$3:$S$999,Charts!$Y$2)</f>
        <v>0</v>
      </c>
      <c r="Z5" s="21">
        <f>COUNTIFS(DataReport!$D$3:$D$999,Charts!$X$2,DataReport!$F$3:$F$999,Charts!X5,DataReport!$S$3:$S$999,Charts!$Z$2)</f>
        <v>0</v>
      </c>
      <c r="AB5" s="75">
        <v>44807</v>
      </c>
      <c r="AC5" s="21">
        <f>COUNTIFS(DataReport!$D$3:$D$999,Charts!$AB$2,DataReport!$F$3:$F$999,Charts!AB5,DataReport!$S$3:$S$999,Charts!$AC$2)</f>
        <v>0</v>
      </c>
      <c r="AD5" s="21">
        <f>COUNTIFS(DataReport!$D$3:$D$999,Charts!$AB$2,DataReport!$F$3:$F$999,Charts!AB5,DataReport!$S$3:$S$999,Charts!$AD$2)</f>
        <v>0</v>
      </c>
      <c r="AF5" s="75">
        <v>44807</v>
      </c>
      <c r="AG5" s="21">
        <f>COUNTIFS(DataReport!$D$3:$D$999,Charts!$AF$2,DataReport!$F$3:$F$999,Charts!AF5,DataReport!$S$3:$S$999,Charts!$AG$2)</f>
        <v>0</v>
      </c>
      <c r="AH5" s="21">
        <f>COUNTIFS(DataReport!$D$3:$D$999,Charts!$AF$2,DataReport!$F$3:$F$999,Charts!AF5,DataReport!$S$3:$S$999,Charts!$AH$2)</f>
        <v>0</v>
      </c>
      <c r="AJ5" s="75">
        <v>44807</v>
      </c>
      <c r="AK5" s="21">
        <f>COUNTIFS(DataReport!$D$3:$D$999,Charts!$AJ$2,DataReport!$F$3:$F$999,Charts!AJ5,DataReport!$S$3:$S$999,Charts!$AK$2)</f>
        <v>0</v>
      </c>
      <c r="AL5" s="21">
        <f>COUNTIFS(DataReport!$D$3:$D$999,Charts!$AJ$2,DataReport!$F$3:$F$999,Charts!AJ5,DataReport!$S$3:$S$999,Charts!$AL$2)</f>
        <v>0</v>
      </c>
      <c r="AN5" s="75">
        <v>44807</v>
      </c>
      <c r="AO5" s="21">
        <f>COUNTIFS(DataReport!$D$3:$D$999,Charts!$AN$2,DataReport!$F$3:$F$999,Charts!AN5,DataReport!$S$3:$S$999,Charts!$AO$2)</f>
        <v>0</v>
      </c>
      <c r="AP5" s="21">
        <f>COUNTIFS(DataReport!$D$3:$D$999,Charts!$AN$2,DataReport!$F$3:$F$999,Charts!AN5,DataReport!$S$3:$S$999,Charts!$AP$2)</f>
        <v>0</v>
      </c>
    </row>
    <row r="6" spans="1:60" x14ac:dyDescent="0.25">
      <c r="A6" s="75">
        <v>44808</v>
      </c>
      <c r="B6" s="21">
        <v>4</v>
      </c>
      <c r="C6" s="21">
        <f>COUNTIF(DataReport!$A$2:$AT$999,Charts!A6)</f>
        <v>0</v>
      </c>
      <c r="E6" s="73" t="s">
        <v>327</v>
      </c>
      <c r="F6" s="21">
        <f>COUNTIF(DataReport!$D$2:$D$999,Charts!E6)</f>
        <v>0</v>
      </c>
      <c r="K6" s="76" t="s">
        <v>288</v>
      </c>
      <c r="L6" s="21">
        <f>COUNTIF(DataReport!$P$2:$P$999,Charts!K6)</f>
        <v>0</v>
      </c>
      <c r="N6" s="75" t="s">
        <v>320</v>
      </c>
      <c r="O6" s="21">
        <f>COUNTIF(DataReport!$H$2:$H$999,Charts!N6)</f>
        <v>0</v>
      </c>
      <c r="Q6" s="73" t="s">
        <v>327</v>
      </c>
      <c r="R6" s="21">
        <f>COUNTIFS(DataReport!$P$2:$P$999,Charts!$S$2,DataReport!$D$2:$D$999,Charts!$Q6)</f>
        <v>0</v>
      </c>
      <c r="S6" s="21">
        <f>COUNTIFS(DataReport!$P$2:$P$999,Charts!$S$2,DataReport!$D$2:$D$999,Charts!$Q6)</f>
        <v>0</v>
      </c>
      <c r="T6" s="21">
        <f>COUNTIFS(DataReport!$P$2:$P$999,Charts!$T$2,DataReport!$D$2:$D$999,Charts!$Q6)</f>
        <v>0</v>
      </c>
      <c r="U6" s="21">
        <f>COUNTIFS(DataReport!$P$2:$P$999,Charts!$U$2,DataReport!$D$2:$D$999,Charts!$Q6)</f>
        <v>0</v>
      </c>
      <c r="V6" s="21">
        <f>COUNTIFS(DataReport!$P$2:$P$999,Charts!$V$2,DataReport!$D$2:$D$999,Charts!$Q6)</f>
        <v>0</v>
      </c>
      <c r="X6" s="75">
        <v>44808</v>
      </c>
      <c r="Y6" s="21">
        <f>COUNTIFS(DataReport!$D$3:$D$999,Charts!$X$2,DataReport!$F$3:$F$999,Charts!X6,DataReport!$S$3:$S$999,Charts!$Y$2)</f>
        <v>0</v>
      </c>
      <c r="Z6" s="21">
        <f>COUNTIFS(DataReport!$D$3:$D$999,Charts!$X$2,DataReport!$F$3:$F$999,Charts!X6,DataReport!$S$3:$S$999,Charts!$Z$2)</f>
        <v>0</v>
      </c>
      <c r="AB6" s="75">
        <v>44808</v>
      </c>
      <c r="AC6" s="21">
        <f>COUNTIFS(DataReport!$D$3:$D$999,Charts!$AB$2,DataReport!$F$3:$F$999,Charts!AB6,DataReport!$S$3:$S$999,Charts!$AC$2)</f>
        <v>0</v>
      </c>
      <c r="AD6" s="21">
        <f>COUNTIFS(DataReport!$D$3:$D$999,Charts!$AB$2,DataReport!$F$3:$F$999,Charts!AB6,DataReport!$S$3:$S$999,Charts!$AD$2)</f>
        <v>0</v>
      </c>
      <c r="AF6" s="75">
        <v>44808</v>
      </c>
      <c r="AG6" s="21">
        <f>COUNTIFS(DataReport!$D$3:$D$999,Charts!$AF$2,DataReport!$F$3:$F$999,Charts!AF6,DataReport!$S$3:$S$999,Charts!$AG$2)</f>
        <v>0</v>
      </c>
      <c r="AH6" s="21">
        <f>COUNTIFS(DataReport!$D$3:$D$999,Charts!$AF$2,DataReport!$F$3:$F$999,Charts!AF6,DataReport!$S$3:$S$999,Charts!$AH$2)</f>
        <v>0</v>
      </c>
      <c r="AJ6" s="75">
        <v>44808</v>
      </c>
      <c r="AK6" s="21">
        <f>COUNTIFS(DataReport!$D$3:$D$999,Charts!$AJ$2,DataReport!$F$3:$F$999,Charts!AJ6,DataReport!$S$3:$S$999,Charts!$AK$2)</f>
        <v>0</v>
      </c>
      <c r="AL6" s="21">
        <f>COUNTIFS(DataReport!$D$3:$D$999,Charts!$AJ$2,DataReport!$F$3:$F$999,Charts!AJ6,DataReport!$S$3:$S$999,Charts!$AL$2)</f>
        <v>0</v>
      </c>
      <c r="AN6" s="75">
        <v>44808</v>
      </c>
      <c r="AO6" s="21">
        <f>COUNTIFS(DataReport!$D$3:$D$999,Charts!$AN$2,DataReport!$F$3:$F$999,Charts!AN6,DataReport!$S$3:$S$999,Charts!$AO$2)</f>
        <v>0</v>
      </c>
      <c r="AP6" s="21">
        <f>COUNTIFS(DataReport!$D$3:$D$999,Charts!$AN$2,DataReport!$F$3:$F$999,Charts!AN6,DataReport!$S$3:$S$999,Charts!$AP$2)</f>
        <v>0</v>
      </c>
    </row>
    <row r="7" spans="1:60" x14ac:dyDescent="0.25">
      <c r="A7" s="75">
        <v>44809</v>
      </c>
      <c r="B7" s="21">
        <v>5</v>
      </c>
      <c r="C7" s="21">
        <f>COUNTIF(DataReport!$A$2:$AT$999,Charts!A7)</f>
        <v>0</v>
      </c>
      <c r="E7" s="73" t="s">
        <v>326</v>
      </c>
      <c r="F7" s="21">
        <f>COUNTIF(DataReport!$D$2:$D$999,Charts!E7)</f>
        <v>0</v>
      </c>
      <c r="K7" s="76" t="s">
        <v>266</v>
      </c>
      <c r="L7" s="21">
        <f>COUNTIF(DataReport!$P$2:$P$999,Charts!K7)</f>
        <v>0</v>
      </c>
      <c r="N7" s="75" t="s">
        <v>317</v>
      </c>
      <c r="O7" s="21">
        <f>COUNTIF(DataReport!$H$2:$H$999,Charts!N7)</f>
        <v>0</v>
      </c>
      <c r="Q7" s="73" t="s">
        <v>326</v>
      </c>
      <c r="R7" s="21">
        <f>COUNTIFS(DataReport!$P$2:$P$999,Charts!$S$2,DataReport!$D$2:$D$999,Charts!$Q7)</f>
        <v>0</v>
      </c>
      <c r="S7" s="21">
        <f>COUNTIFS(DataReport!$P$2:$P$999,Charts!$S$2,DataReport!$D$2:$D$999,Charts!$Q7)</f>
        <v>0</v>
      </c>
      <c r="T7" s="21">
        <f>COUNTIFS(DataReport!$P$2:$P$999,Charts!$T$2,DataReport!$D$2:$D$999,Charts!$Q7)</f>
        <v>0</v>
      </c>
      <c r="U7" s="21">
        <f>COUNTIFS(DataReport!$P$2:$P$999,Charts!$U$2,DataReport!$D$2:$D$999,Charts!$Q7)</f>
        <v>0</v>
      </c>
      <c r="V7" s="21">
        <f>COUNTIFS(DataReport!$P$2:$P$999,Charts!$V$2,DataReport!$D$2:$D$999,Charts!$Q7)</f>
        <v>0</v>
      </c>
      <c r="X7" s="75">
        <v>44809</v>
      </c>
      <c r="Y7" s="21">
        <f>COUNTIFS(DataReport!$D$3:$D$999,Charts!$X$2,DataReport!$F$3:$F$999,Charts!X7,DataReport!$S$3:$S$999,Charts!$Y$2)</f>
        <v>0</v>
      </c>
      <c r="Z7" s="21">
        <f>COUNTIFS(DataReport!$D$3:$D$999,Charts!$X$2,DataReport!$F$3:$F$999,Charts!X7,DataReport!$S$3:$S$999,Charts!$Z$2)</f>
        <v>0</v>
      </c>
      <c r="AB7" s="75">
        <v>44809</v>
      </c>
      <c r="AC7" s="21">
        <f>COUNTIFS(DataReport!$D$3:$D$999,Charts!$AB$2,DataReport!$F$3:$F$999,Charts!AB7,DataReport!$S$3:$S$999,Charts!$AC$2)</f>
        <v>0</v>
      </c>
      <c r="AD7" s="21">
        <f>COUNTIFS(DataReport!$D$3:$D$999,Charts!$AB$2,DataReport!$F$3:$F$999,Charts!AB7,DataReport!$S$3:$S$999,Charts!$AD$2)</f>
        <v>0</v>
      </c>
      <c r="AF7" s="75">
        <v>44809</v>
      </c>
      <c r="AG7" s="21">
        <f>COUNTIFS(DataReport!$D$3:$D$999,Charts!$AF$2,DataReport!$F$3:$F$999,Charts!AF7,DataReport!$S$3:$S$999,Charts!$AG$2)</f>
        <v>0</v>
      </c>
      <c r="AH7" s="21">
        <f>COUNTIFS(DataReport!$D$3:$D$999,Charts!$AF$2,DataReport!$F$3:$F$999,Charts!AF7,DataReport!$S$3:$S$999,Charts!$AH$2)</f>
        <v>0</v>
      </c>
      <c r="AJ7" s="75">
        <v>44809</v>
      </c>
      <c r="AK7" s="21">
        <f>COUNTIFS(DataReport!$D$3:$D$999,Charts!$AJ$2,DataReport!$F$3:$F$999,Charts!AJ7,DataReport!$S$3:$S$999,Charts!$AK$2)</f>
        <v>0</v>
      </c>
      <c r="AL7" s="21">
        <f>COUNTIFS(DataReport!$D$3:$D$999,Charts!$AJ$2,DataReport!$F$3:$F$999,Charts!AJ7,DataReport!$S$3:$S$999,Charts!$AL$2)</f>
        <v>0</v>
      </c>
      <c r="AN7" s="75">
        <v>44809</v>
      </c>
      <c r="AO7" s="21">
        <f>COUNTIFS(DataReport!$D$3:$D$999,Charts!$AN$2,DataReport!$F$3:$F$999,Charts!AN7,DataReport!$S$3:$S$999,Charts!$AO$2)</f>
        <v>0</v>
      </c>
      <c r="AP7" s="21">
        <f>COUNTIFS(DataReport!$D$3:$D$999,Charts!$AN$2,DataReport!$F$3:$F$999,Charts!AN7,DataReport!$S$3:$S$999,Charts!$AP$2)</f>
        <v>0</v>
      </c>
    </row>
    <row r="8" spans="1:60" x14ac:dyDescent="0.25">
      <c r="A8" s="75">
        <v>44810</v>
      </c>
      <c r="B8" s="21">
        <v>6</v>
      </c>
      <c r="C8" s="21">
        <f>COUNTIF(DataReport!$A$2:$AT$999,Charts!A8)</f>
        <v>0</v>
      </c>
      <c r="N8" s="75" t="s">
        <v>321</v>
      </c>
      <c r="O8" s="21">
        <f>COUNTIF(DataReport!$H$2:$H$999,Charts!N8)</f>
        <v>0</v>
      </c>
      <c r="R8" s="78"/>
      <c r="X8" s="75">
        <v>44810</v>
      </c>
      <c r="Y8" s="21">
        <f>COUNTIFS(DataReport!$D$3:$D$999,Charts!$X$2,DataReport!$F$3:$F$999,Charts!X8,DataReport!$S$3:$S$999,Charts!$Y$2)</f>
        <v>0</v>
      </c>
      <c r="Z8" s="21">
        <f>COUNTIFS(DataReport!$D$3:$D$999,Charts!$X$2,DataReport!$F$3:$F$999,Charts!X8,DataReport!$S$3:$S$999,Charts!$Z$2)</f>
        <v>0</v>
      </c>
      <c r="AB8" s="75">
        <v>44810</v>
      </c>
      <c r="AC8" s="21">
        <f>COUNTIFS(DataReport!$D$3:$D$999,Charts!$AB$2,DataReport!$F$3:$F$999,Charts!AB8,DataReport!$S$3:$S$999,Charts!$AC$2)</f>
        <v>0</v>
      </c>
      <c r="AD8" s="21">
        <f>COUNTIFS(DataReport!$D$3:$D$999,Charts!$AB$2,DataReport!$F$3:$F$999,Charts!AB8,DataReport!$S$3:$S$999,Charts!$AD$2)</f>
        <v>0</v>
      </c>
      <c r="AF8" s="75">
        <v>44810</v>
      </c>
      <c r="AG8" s="21">
        <f>COUNTIFS(DataReport!$D$3:$D$999,Charts!$AF$2,DataReport!$F$3:$F$999,Charts!AF8,DataReport!$S$3:$S$999,Charts!$AG$2)</f>
        <v>0</v>
      </c>
      <c r="AH8" s="21">
        <f>COUNTIFS(DataReport!$D$3:$D$999,Charts!$AF$2,DataReport!$F$3:$F$999,Charts!AF8,DataReport!$S$3:$S$999,Charts!$AH$2)</f>
        <v>0</v>
      </c>
      <c r="AJ8" s="75">
        <v>44810</v>
      </c>
      <c r="AK8" s="21">
        <f>COUNTIFS(DataReport!$D$3:$D$999,Charts!$AJ$2,DataReport!$F$3:$F$999,Charts!AJ8,DataReport!$S$3:$S$999,Charts!$AK$2)</f>
        <v>0</v>
      </c>
      <c r="AL8" s="21">
        <f>COUNTIFS(DataReport!$D$3:$D$999,Charts!$AJ$2,DataReport!$F$3:$F$999,Charts!AJ8,DataReport!$S$3:$S$999,Charts!$AL$2)</f>
        <v>0</v>
      </c>
      <c r="AN8" s="75">
        <v>44810</v>
      </c>
      <c r="AO8" s="21">
        <f>COUNTIFS(DataReport!$D$3:$D$999,Charts!$AN$2,DataReport!$F$3:$F$999,Charts!AN8,DataReport!$S$3:$S$999,Charts!$AO$2)</f>
        <v>0</v>
      </c>
      <c r="AP8" s="21">
        <f>COUNTIFS(DataReport!$D$3:$D$999,Charts!$AN$2,DataReport!$F$3:$F$999,Charts!AN8,DataReport!$S$3:$S$999,Charts!$AP$2)</f>
        <v>0</v>
      </c>
    </row>
    <row r="9" spans="1:60" x14ac:dyDescent="0.25">
      <c r="A9" s="75">
        <v>44811</v>
      </c>
      <c r="B9" s="21">
        <v>7</v>
      </c>
      <c r="C9" s="21">
        <f>COUNTIF(DataReport!$A$2:$AT$999,Charts!A9)</f>
        <v>0</v>
      </c>
      <c r="R9" s="78"/>
      <c r="X9" s="75">
        <v>44811</v>
      </c>
      <c r="Y9" s="21">
        <f>COUNTIFS(DataReport!$D$3:$D$999,Charts!$X$2,DataReport!$F$3:$F$999,Charts!X9,DataReport!$S$3:$S$999,Charts!$Y$2)</f>
        <v>0</v>
      </c>
      <c r="Z9" s="21">
        <f>COUNTIFS(DataReport!$D$3:$D$999,Charts!$X$2,DataReport!$F$3:$F$999,Charts!X9,DataReport!$S$3:$S$999,Charts!$Z$2)</f>
        <v>0</v>
      </c>
      <c r="AB9" s="75">
        <v>44811</v>
      </c>
      <c r="AC9" s="21">
        <f>COUNTIFS(DataReport!$D$3:$D$999,Charts!$AB$2,DataReport!$F$3:$F$999,Charts!AB9,DataReport!$S$3:$S$999,Charts!$AC$2)</f>
        <v>0</v>
      </c>
      <c r="AD9" s="21">
        <f>COUNTIFS(DataReport!$D$3:$D$999,Charts!$AB$2,DataReport!$F$3:$F$999,Charts!AB9,DataReport!$S$3:$S$999,Charts!$AD$2)</f>
        <v>0</v>
      </c>
      <c r="AF9" s="75">
        <v>44811</v>
      </c>
      <c r="AG9" s="21">
        <f>COUNTIFS(DataReport!$D$3:$D$999,Charts!$AF$2,DataReport!$F$3:$F$999,Charts!AF9,DataReport!$S$3:$S$999,Charts!$AG$2)</f>
        <v>0</v>
      </c>
      <c r="AH9" s="21">
        <f>COUNTIFS(DataReport!$D$3:$D$999,Charts!$AF$2,DataReport!$F$3:$F$999,Charts!AF9,DataReport!$S$3:$S$999,Charts!$AH$2)</f>
        <v>0</v>
      </c>
      <c r="AJ9" s="75">
        <v>44811</v>
      </c>
      <c r="AK9" s="21">
        <f>COUNTIFS(DataReport!$D$3:$D$999,Charts!$AJ$2,DataReport!$F$3:$F$999,Charts!AJ9,DataReport!$S$3:$S$999,Charts!$AK$2)</f>
        <v>0</v>
      </c>
      <c r="AL9" s="21">
        <f>COUNTIFS(DataReport!$D$3:$D$999,Charts!$AJ$2,DataReport!$F$3:$F$999,Charts!AJ9,DataReport!$S$3:$S$999,Charts!$AL$2)</f>
        <v>0</v>
      </c>
      <c r="AN9" s="75">
        <v>44811</v>
      </c>
      <c r="AO9" s="21">
        <f>COUNTIFS(DataReport!$D$3:$D$999,Charts!$AN$2,DataReport!$F$3:$F$999,Charts!AN9,DataReport!$S$3:$S$999,Charts!$AO$2)</f>
        <v>0</v>
      </c>
      <c r="AP9" s="21">
        <f>COUNTIFS(DataReport!$D$3:$D$999,Charts!$AN$2,DataReport!$F$3:$F$999,Charts!AN9,DataReport!$S$3:$S$999,Charts!$AP$2)</f>
        <v>0</v>
      </c>
    </row>
    <row r="10" spans="1:60" x14ac:dyDescent="0.25">
      <c r="A10" s="75">
        <v>44812</v>
      </c>
      <c r="B10" s="21">
        <v>8</v>
      </c>
      <c r="C10" s="21">
        <f>COUNTIF(DataReport!$A$2:$AT$999,Charts!A10)</f>
        <v>0</v>
      </c>
      <c r="R10" s="78"/>
      <c r="X10" s="75">
        <v>44812</v>
      </c>
      <c r="Y10" s="21">
        <f>COUNTIFS(DataReport!$D$3:$D$999,Charts!$X$2,DataReport!$F$3:$F$999,Charts!X10,DataReport!$S$3:$S$999,Charts!$Y$2)</f>
        <v>0</v>
      </c>
      <c r="Z10" s="21">
        <f>COUNTIFS(DataReport!$D$3:$D$999,Charts!$X$2,DataReport!$F$3:$F$999,Charts!X10,DataReport!$S$3:$S$999,Charts!$Z$2)</f>
        <v>0</v>
      </c>
      <c r="AB10" s="75">
        <v>44812</v>
      </c>
      <c r="AC10" s="21">
        <f>COUNTIFS(DataReport!$D$3:$D$999,Charts!$AB$2,DataReport!$F$3:$F$999,Charts!AB10,DataReport!$S$3:$S$999,Charts!$AC$2)</f>
        <v>0</v>
      </c>
      <c r="AD10" s="21">
        <f>COUNTIFS(DataReport!$D$3:$D$999,Charts!$AB$2,DataReport!$F$3:$F$999,Charts!AB10,DataReport!$S$3:$S$999,Charts!$AD$2)</f>
        <v>0</v>
      </c>
      <c r="AF10" s="75">
        <v>44812</v>
      </c>
      <c r="AG10" s="21">
        <f>COUNTIFS(DataReport!$D$3:$D$999,Charts!$AF$2,DataReport!$F$3:$F$999,Charts!AF10,DataReport!$S$3:$S$999,Charts!$AG$2)</f>
        <v>0</v>
      </c>
      <c r="AH10" s="21">
        <f>COUNTIFS(DataReport!$D$3:$D$999,Charts!$AF$2,DataReport!$F$3:$F$999,Charts!AF10,DataReport!$S$3:$S$999,Charts!$AH$2)</f>
        <v>0</v>
      </c>
      <c r="AJ10" s="75">
        <v>44812</v>
      </c>
      <c r="AK10" s="21">
        <f>COUNTIFS(DataReport!$D$3:$D$999,Charts!$AJ$2,DataReport!$F$3:$F$999,Charts!AJ10,DataReport!$S$3:$S$999,Charts!$AK$2)</f>
        <v>0</v>
      </c>
      <c r="AL10" s="21">
        <f>COUNTIFS(DataReport!$D$3:$D$999,Charts!$AJ$2,DataReport!$F$3:$F$999,Charts!AJ10,DataReport!$S$3:$S$999,Charts!$AL$2)</f>
        <v>0</v>
      </c>
      <c r="AN10" s="75">
        <v>44812</v>
      </c>
      <c r="AO10" s="21">
        <f>COUNTIFS(DataReport!$D$3:$D$999,Charts!$AN$2,DataReport!$F$3:$F$999,Charts!AN10,DataReport!$S$3:$S$999,Charts!$AO$2)</f>
        <v>0</v>
      </c>
      <c r="AP10" s="21">
        <f>COUNTIFS(DataReport!$D$3:$D$999,Charts!$AN$2,DataReport!$F$3:$F$999,Charts!AN10,DataReport!$S$3:$S$999,Charts!$AP$2)</f>
        <v>0</v>
      </c>
    </row>
    <row r="11" spans="1:60" x14ac:dyDescent="0.25">
      <c r="A11" s="75">
        <v>44813</v>
      </c>
      <c r="B11" s="21">
        <v>9</v>
      </c>
      <c r="C11" s="21">
        <f>COUNTIF(DataReport!$A$2:$AT$999,Charts!A11)</f>
        <v>0</v>
      </c>
      <c r="R11" s="78"/>
      <c r="X11" s="75">
        <v>44813</v>
      </c>
      <c r="Y11" s="21">
        <f>COUNTIFS(DataReport!$D$3:$D$999,Charts!$X$2,DataReport!$F$3:$F$999,Charts!X11,DataReport!$S$3:$S$999,Charts!$Y$2)</f>
        <v>0</v>
      </c>
      <c r="Z11" s="21">
        <f>COUNTIFS(DataReport!$D$3:$D$999,Charts!$X$2,DataReport!$F$3:$F$999,Charts!X11,DataReport!$S$3:$S$999,Charts!$Z$2)</f>
        <v>0</v>
      </c>
      <c r="AB11" s="75">
        <v>44813</v>
      </c>
      <c r="AC11" s="21">
        <f>COUNTIFS(DataReport!$D$3:$D$999,Charts!$AB$2,DataReport!$F$3:$F$999,Charts!AB11,DataReport!$S$3:$S$999,Charts!$AC$2)</f>
        <v>0</v>
      </c>
      <c r="AD11" s="21">
        <f>COUNTIFS(DataReport!$D$3:$D$999,Charts!$AB$2,DataReport!$F$3:$F$999,Charts!AB11,DataReport!$S$3:$S$999,Charts!$AD$2)</f>
        <v>0</v>
      </c>
      <c r="AF11" s="75">
        <v>44813</v>
      </c>
      <c r="AG11" s="21">
        <f>COUNTIFS(DataReport!$D$3:$D$999,Charts!$AF$2,DataReport!$F$3:$F$999,Charts!AF11,DataReport!$S$3:$S$999,Charts!$AG$2)</f>
        <v>0</v>
      </c>
      <c r="AH11" s="21">
        <f>COUNTIFS(DataReport!$D$3:$D$999,Charts!$AF$2,DataReport!$F$3:$F$999,Charts!AF11,DataReport!$S$3:$S$999,Charts!$AH$2)</f>
        <v>0</v>
      </c>
      <c r="AJ11" s="75">
        <v>44813</v>
      </c>
      <c r="AK11" s="21">
        <f>COUNTIFS(DataReport!$D$3:$D$999,Charts!$AJ$2,DataReport!$F$3:$F$999,Charts!AJ11,DataReport!$S$3:$S$999,Charts!$AK$2)</f>
        <v>0</v>
      </c>
      <c r="AL11" s="21">
        <f>COUNTIFS(DataReport!$D$3:$D$999,Charts!$AJ$2,DataReport!$F$3:$F$999,Charts!AJ11,DataReport!$S$3:$S$999,Charts!$AL$2)</f>
        <v>0</v>
      </c>
      <c r="AN11" s="75">
        <v>44813</v>
      </c>
      <c r="AO11" s="21">
        <f>COUNTIFS(DataReport!$D$3:$D$999,Charts!$AN$2,DataReport!$F$3:$F$999,Charts!AN11,DataReport!$S$3:$S$999,Charts!$AO$2)</f>
        <v>0</v>
      </c>
      <c r="AP11" s="21">
        <f>COUNTIFS(DataReport!$D$3:$D$999,Charts!$AN$2,DataReport!$F$3:$F$999,Charts!AN11,DataReport!$S$3:$S$999,Charts!$AP$2)</f>
        <v>0</v>
      </c>
    </row>
    <row r="12" spans="1:60" x14ac:dyDescent="0.25">
      <c r="A12" s="75">
        <v>44814</v>
      </c>
      <c r="B12" s="21">
        <v>10</v>
      </c>
      <c r="C12" s="21">
        <f>COUNTIF(DataReport!$A$2:$AT$999,Charts!A12)</f>
        <v>0</v>
      </c>
      <c r="R12" s="78"/>
      <c r="X12" s="75">
        <v>44814</v>
      </c>
      <c r="Y12" s="21">
        <f>COUNTIFS(DataReport!$D$3:$D$999,Charts!$X$2,DataReport!$F$3:$F$999,Charts!X12,DataReport!$S$3:$S$999,Charts!$Y$2)</f>
        <v>0</v>
      </c>
      <c r="Z12" s="21">
        <f>COUNTIFS(DataReport!$D$3:$D$999,Charts!$X$2,DataReport!$F$3:$F$999,Charts!X12,DataReport!$S$3:$S$999,Charts!$Z$2)</f>
        <v>0</v>
      </c>
      <c r="AB12" s="75">
        <v>44814</v>
      </c>
      <c r="AC12" s="21">
        <f>COUNTIFS(DataReport!$D$3:$D$999,Charts!$AB$2,DataReport!$F$3:$F$999,Charts!AB12,DataReport!$S$3:$S$999,Charts!$AC$2)</f>
        <v>0</v>
      </c>
      <c r="AD12" s="21">
        <f>COUNTIFS(DataReport!$D$3:$D$999,Charts!$AB$2,DataReport!$F$3:$F$999,Charts!AB12,DataReport!$S$3:$S$999,Charts!$AD$2)</f>
        <v>0</v>
      </c>
      <c r="AF12" s="75">
        <v>44814</v>
      </c>
      <c r="AG12" s="21">
        <f>COUNTIFS(DataReport!$D$3:$D$999,Charts!$AF$2,DataReport!$F$3:$F$999,Charts!AF12,DataReport!$S$3:$S$999,Charts!$AG$2)</f>
        <v>0</v>
      </c>
      <c r="AH12" s="21">
        <f>COUNTIFS(DataReport!$D$3:$D$999,Charts!$AF$2,DataReport!$F$3:$F$999,Charts!AF12,DataReport!$S$3:$S$999,Charts!$AH$2)</f>
        <v>0</v>
      </c>
      <c r="AJ12" s="75">
        <v>44814</v>
      </c>
      <c r="AK12" s="21">
        <f>COUNTIFS(DataReport!$D$3:$D$999,Charts!$AJ$2,DataReport!$F$3:$F$999,Charts!AJ12,DataReport!$S$3:$S$999,Charts!$AK$2)</f>
        <v>0</v>
      </c>
      <c r="AL12" s="21">
        <f>COUNTIFS(DataReport!$D$3:$D$999,Charts!$AJ$2,DataReport!$F$3:$F$999,Charts!AJ12,DataReport!$S$3:$S$999,Charts!$AL$2)</f>
        <v>0</v>
      </c>
      <c r="AN12" s="75">
        <v>44814</v>
      </c>
      <c r="AO12" s="21">
        <f>COUNTIFS(DataReport!$D$3:$D$999,Charts!$AN$2,DataReport!$F$3:$F$999,Charts!AN12,DataReport!$S$3:$S$999,Charts!$AO$2)</f>
        <v>0</v>
      </c>
      <c r="AP12" s="21">
        <f>COUNTIFS(DataReport!$D$3:$D$999,Charts!$AN$2,DataReport!$F$3:$F$999,Charts!AN12,DataReport!$S$3:$S$999,Charts!$AP$2)</f>
        <v>0</v>
      </c>
    </row>
    <row r="13" spans="1:60" x14ac:dyDescent="0.25">
      <c r="A13" s="75">
        <v>44815</v>
      </c>
      <c r="B13" s="21">
        <v>11</v>
      </c>
      <c r="C13" s="21">
        <f>COUNTIF(DataReport!$A$2:$AT$999,Charts!A13)</f>
        <v>0</v>
      </c>
      <c r="R13" s="78"/>
      <c r="X13" s="75">
        <v>44815</v>
      </c>
      <c r="Y13" s="21">
        <f>COUNTIFS(DataReport!$D$3:$D$999,Charts!$X$2,DataReport!$F$3:$F$999,Charts!X13,DataReport!$S$3:$S$999,Charts!$Y$2)</f>
        <v>0</v>
      </c>
      <c r="Z13" s="21">
        <f>COUNTIFS(DataReport!$D$3:$D$999,Charts!$X$2,DataReport!$F$3:$F$999,Charts!X13,DataReport!$S$3:$S$999,Charts!$Z$2)</f>
        <v>0</v>
      </c>
      <c r="AB13" s="75">
        <v>44815</v>
      </c>
      <c r="AC13" s="21">
        <f>COUNTIFS(DataReport!$D$3:$D$999,Charts!$AB$2,DataReport!$F$3:$F$999,Charts!AB13,DataReport!$S$3:$S$999,Charts!$AC$2)</f>
        <v>0</v>
      </c>
      <c r="AD13" s="21">
        <f>COUNTIFS(DataReport!$D$3:$D$999,Charts!$AB$2,DataReport!$F$3:$F$999,Charts!AB13,DataReport!$S$3:$S$999,Charts!$AD$2)</f>
        <v>0</v>
      </c>
      <c r="AF13" s="75">
        <v>44815</v>
      </c>
      <c r="AG13" s="21">
        <f>COUNTIFS(DataReport!$D$3:$D$999,Charts!$AF$2,DataReport!$F$3:$F$999,Charts!AF13,DataReport!$S$3:$S$999,Charts!$AG$2)</f>
        <v>0</v>
      </c>
      <c r="AH13" s="21">
        <f>COUNTIFS(DataReport!$D$3:$D$999,Charts!$AF$2,DataReport!$F$3:$F$999,Charts!AF13,DataReport!$S$3:$S$999,Charts!$AH$2)</f>
        <v>0</v>
      </c>
      <c r="AJ13" s="75">
        <v>44815</v>
      </c>
      <c r="AK13" s="21">
        <f>COUNTIFS(DataReport!$D$3:$D$999,Charts!$AJ$2,DataReport!$F$3:$F$999,Charts!AJ13,DataReport!$S$3:$S$999,Charts!$AK$2)</f>
        <v>0</v>
      </c>
      <c r="AL13" s="21">
        <f>COUNTIFS(DataReport!$D$3:$D$999,Charts!$AJ$2,DataReport!$F$3:$F$999,Charts!AJ13,DataReport!$S$3:$S$999,Charts!$AL$2)</f>
        <v>0</v>
      </c>
      <c r="AN13" s="75">
        <v>44815</v>
      </c>
      <c r="AO13" s="21">
        <f>COUNTIFS(DataReport!$D$3:$D$999,Charts!$AN$2,DataReport!$F$3:$F$999,Charts!AN13,DataReport!$S$3:$S$999,Charts!$AO$2)</f>
        <v>0</v>
      </c>
      <c r="AP13" s="21">
        <f>COUNTIFS(DataReport!$D$3:$D$999,Charts!$AN$2,DataReport!$F$3:$F$999,Charts!AN13,DataReport!$S$3:$S$999,Charts!$AP$2)</f>
        <v>0</v>
      </c>
    </row>
    <row r="14" spans="1:60" x14ac:dyDescent="0.25">
      <c r="A14" s="75">
        <v>44816</v>
      </c>
      <c r="B14" s="21">
        <v>12</v>
      </c>
      <c r="C14" s="21">
        <f>COUNTIF(DataReport!$A$2:$AT$999,Charts!A14)</f>
        <v>0</v>
      </c>
      <c r="R14" s="78"/>
      <c r="X14" s="75">
        <v>44816</v>
      </c>
      <c r="Y14" s="21">
        <f>COUNTIFS(DataReport!$D$3:$D$999,Charts!$X$2,DataReport!$F$3:$F$999,Charts!X14,DataReport!$S$3:$S$999,Charts!$Y$2)</f>
        <v>0</v>
      </c>
      <c r="Z14" s="21">
        <f>COUNTIFS(DataReport!$D$3:$D$999,Charts!$X$2,DataReport!$F$3:$F$999,Charts!X14,DataReport!$S$3:$S$999,Charts!$Z$2)</f>
        <v>0</v>
      </c>
      <c r="AB14" s="75">
        <v>44816</v>
      </c>
      <c r="AC14" s="21">
        <f>COUNTIFS(DataReport!$D$3:$D$999,Charts!$AB$2,DataReport!$F$3:$F$999,Charts!AB14,DataReport!$S$3:$S$999,Charts!$AC$2)</f>
        <v>0</v>
      </c>
      <c r="AD14" s="21">
        <f>COUNTIFS(DataReport!$D$3:$D$999,Charts!$AB$2,DataReport!$F$3:$F$999,Charts!AB14,DataReport!$S$3:$S$999,Charts!$AD$2)</f>
        <v>0</v>
      </c>
      <c r="AF14" s="75">
        <v>44816</v>
      </c>
      <c r="AG14" s="21">
        <f>COUNTIFS(DataReport!$D$3:$D$999,Charts!$AF$2,DataReport!$F$3:$F$999,Charts!AF14,DataReport!$S$3:$S$999,Charts!$AG$2)</f>
        <v>0</v>
      </c>
      <c r="AH14" s="21">
        <f>COUNTIFS(DataReport!$D$3:$D$999,Charts!$AF$2,DataReport!$F$3:$F$999,Charts!AF14,DataReport!$S$3:$S$999,Charts!$AH$2)</f>
        <v>0</v>
      </c>
      <c r="AJ14" s="75">
        <v>44816</v>
      </c>
      <c r="AK14" s="21">
        <f>COUNTIFS(DataReport!$D$3:$D$999,Charts!$AJ$2,DataReport!$F$3:$F$999,Charts!AJ14,DataReport!$S$3:$S$999,Charts!$AK$2)</f>
        <v>0</v>
      </c>
      <c r="AL14" s="21">
        <f>COUNTIFS(DataReport!$D$3:$D$999,Charts!$AJ$2,DataReport!$F$3:$F$999,Charts!AJ14,DataReport!$S$3:$S$999,Charts!$AL$2)</f>
        <v>0</v>
      </c>
      <c r="AN14" s="75">
        <v>44816</v>
      </c>
      <c r="AO14" s="21">
        <f>COUNTIFS(DataReport!$D$3:$D$999,Charts!$AN$2,DataReport!$F$3:$F$999,Charts!AN14,DataReport!$S$3:$S$999,Charts!$AO$2)</f>
        <v>0</v>
      </c>
      <c r="AP14" s="21">
        <f>COUNTIFS(DataReport!$D$3:$D$999,Charts!$AN$2,DataReport!$F$3:$F$999,Charts!AN14,DataReport!$S$3:$S$999,Charts!$AP$2)</f>
        <v>0</v>
      </c>
    </row>
    <row r="15" spans="1:60" x14ac:dyDescent="0.25">
      <c r="A15" s="75">
        <v>44817</v>
      </c>
      <c r="B15" s="21">
        <v>13</v>
      </c>
      <c r="C15" s="21">
        <f>COUNTIF(DataReport!$A$2:$AT$999,Charts!A15)</f>
        <v>0</v>
      </c>
      <c r="R15" s="78"/>
      <c r="X15" s="75">
        <v>44817</v>
      </c>
      <c r="Y15" s="21">
        <f>COUNTIFS(DataReport!$D$3:$D$999,Charts!$X$2,DataReport!$F$3:$F$999,Charts!X15,DataReport!$S$3:$S$999,Charts!$Y$2)</f>
        <v>0</v>
      </c>
      <c r="Z15" s="21">
        <f>COUNTIFS(DataReport!$D$3:$D$999,Charts!$X$2,DataReport!$F$3:$F$999,Charts!X15,DataReport!$S$3:$S$999,Charts!$Z$2)</f>
        <v>0</v>
      </c>
      <c r="AB15" s="75">
        <v>44817</v>
      </c>
      <c r="AC15" s="21">
        <f>COUNTIFS(DataReport!$D$3:$D$999,Charts!$AB$2,DataReport!$F$3:$F$999,Charts!AB15,DataReport!$S$3:$S$999,Charts!$AC$2)</f>
        <v>0</v>
      </c>
      <c r="AD15" s="21">
        <f>COUNTIFS(DataReport!$D$3:$D$999,Charts!$AB$2,DataReport!$F$3:$F$999,Charts!AB15,DataReport!$S$3:$S$999,Charts!$AD$2)</f>
        <v>0</v>
      </c>
      <c r="AF15" s="75">
        <v>44817</v>
      </c>
      <c r="AG15" s="21">
        <f>COUNTIFS(DataReport!$D$3:$D$999,Charts!$AF$2,DataReport!$F$3:$F$999,Charts!AF15,DataReport!$S$3:$S$999,Charts!$AG$2)</f>
        <v>0</v>
      </c>
      <c r="AH15" s="21">
        <f>COUNTIFS(DataReport!$D$3:$D$999,Charts!$AF$2,DataReport!$F$3:$F$999,Charts!AF15,DataReport!$S$3:$S$999,Charts!$AH$2)</f>
        <v>0</v>
      </c>
      <c r="AJ15" s="75">
        <v>44817</v>
      </c>
      <c r="AK15" s="21">
        <f>COUNTIFS(DataReport!$D$3:$D$999,Charts!$AJ$2,DataReport!$F$3:$F$999,Charts!AJ15,DataReport!$S$3:$S$999,Charts!$AK$2)</f>
        <v>0</v>
      </c>
      <c r="AL15" s="21">
        <f>COUNTIFS(DataReport!$D$3:$D$999,Charts!$AJ$2,DataReport!$F$3:$F$999,Charts!AJ15,DataReport!$S$3:$S$999,Charts!$AL$2)</f>
        <v>0</v>
      </c>
      <c r="AN15" s="75">
        <v>44817</v>
      </c>
      <c r="AO15" s="21">
        <f>COUNTIFS(DataReport!$D$3:$D$999,Charts!$AN$2,DataReport!$F$3:$F$999,Charts!AN15,DataReport!$S$3:$S$999,Charts!$AO$2)</f>
        <v>0</v>
      </c>
      <c r="AP15" s="21">
        <f>COUNTIFS(DataReport!$D$3:$D$999,Charts!$AN$2,DataReport!$F$3:$F$999,Charts!AN15,DataReport!$S$3:$S$999,Charts!$AP$2)</f>
        <v>0</v>
      </c>
    </row>
    <row r="16" spans="1:60" x14ac:dyDescent="0.25">
      <c r="A16" s="75">
        <v>44818</v>
      </c>
      <c r="B16" s="21">
        <v>14</v>
      </c>
      <c r="C16" s="21">
        <f>COUNTIF(DataReport!$A$2:$AT$999,Charts!A16)</f>
        <v>0</v>
      </c>
      <c r="I16" t="s">
        <v>328</v>
      </c>
      <c r="L16" s="79" t="s">
        <v>329</v>
      </c>
      <c r="R16" s="78"/>
      <c r="X16" s="75">
        <v>44818</v>
      </c>
      <c r="Y16" s="21">
        <f>COUNTIFS(DataReport!$D$3:$D$999,Charts!$X$2,DataReport!$F$3:$F$999,Charts!X16,DataReport!$S$3:$S$999,Charts!$Y$2)</f>
        <v>0</v>
      </c>
      <c r="Z16" s="21">
        <f>COUNTIFS(DataReport!$D$3:$D$999,Charts!$X$2,DataReport!$F$3:$F$999,Charts!X16,DataReport!$S$3:$S$999,Charts!$Z$2)</f>
        <v>0</v>
      </c>
      <c r="AB16" s="75">
        <v>44818</v>
      </c>
      <c r="AC16" s="21">
        <f>COUNTIFS(DataReport!$D$3:$D$999,Charts!$AB$2,DataReport!$F$3:$F$999,Charts!AB16,DataReport!$S$3:$S$999,Charts!$AC$2)</f>
        <v>0</v>
      </c>
      <c r="AD16" s="21">
        <f>COUNTIFS(DataReport!$D$3:$D$999,Charts!$AB$2,DataReport!$F$3:$F$999,Charts!AB16,DataReport!$S$3:$S$999,Charts!$AD$2)</f>
        <v>0</v>
      </c>
      <c r="AF16" s="75">
        <v>44818</v>
      </c>
      <c r="AG16" s="21">
        <f>COUNTIFS(DataReport!$D$3:$D$999,Charts!$AF$2,DataReport!$F$3:$F$999,Charts!AF16,DataReport!$S$3:$S$999,Charts!$AG$2)</f>
        <v>0</v>
      </c>
      <c r="AH16" s="21">
        <f>COUNTIFS(DataReport!$D$3:$D$999,Charts!$AF$2,DataReport!$F$3:$F$999,Charts!AF16,DataReport!$S$3:$S$999,Charts!$AH$2)</f>
        <v>0</v>
      </c>
      <c r="AJ16" s="75">
        <v>44818</v>
      </c>
      <c r="AK16" s="21">
        <f>COUNTIFS(DataReport!$D$3:$D$999,Charts!$AJ$2,DataReport!$F$3:$F$999,Charts!AJ16,DataReport!$S$3:$S$999,Charts!$AK$2)</f>
        <v>0</v>
      </c>
      <c r="AL16" s="21">
        <f>COUNTIFS(DataReport!$D$3:$D$999,Charts!$AJ$2,DataReport!$F$3:$F$999,Charts!AJ16,DataReport!$S$3:$S$999,Charts!$AL$2)</f>
        <v>0</v>
      </c>
      <c r="AN16" s="75">
        <v>44818</v>
      </c>
      <c r="AO16" s="21">
        <f>COUNTIFS(DataReport!$D$3:$D$999,Charts!$AN$2,DataReport!$F$3:$F$999,Charts!AN16,DataReport!$S$3:$S$999,Charts!$AO$2)</f>
        <v>0</v>
      </c>
      <c r="AP16" s="21">
        <f>COUNTIFS(DataReport!$D$3:$D$999,Charts!$AN$2,DataReport!$F$3:$F$999,Charts!AN16,DataReport!$S$3:$S$999,Charts!$AP$2)</f>
        <v>0</v>
      </c>
    </row>
    <row r="17" spans="1:42" x14ac:dyDescent="0.25">
      <c r="A17" s="75">
        <v>44819</v>
      </c>
      <c r="B17" s="21">
        <v>15</v>
      </c>
      <c r="C17" s="21">
        <f>COUNTIF(DataReport!$A$2:$AT$999,Charts!A17)</f>
        <v>0</v>
      </c>
      <c r="L17" s="80" t="s">
        <v>330</v>
      </c>
      <c r="R17" s="78"/>
      <c r="X17" s="75">
        <v>44819</v>
      </c>
      <c r="Y17" s="21">
        <f>COUNTIFS(DataReport!$D$3:$D$999,Charts!$X$2,DataReport!$F$3:$F$999,Charts!X17,DataReport!$S$3:$S$999,Charts!$Y$2)</f>
        <v>0</v>
      </c>
      <c r="Z17" s="21">
        <f>COUNTIFS(DataReport!$D$3:$D$999,Charts!$X$2,DataReport!$F$3:$F$999,Charts!X17,DataReport!$S$3:$S$999,Charts!$Z$2)</f>
        <v>0</v>
      </c>
      <c r="AB17" s="75">
        <v>44819</v>
      </c>
      <c r="AC17" s="21">
        <f>COUNTIFS(DataReport!$D$3:$D$999,Charts!$AB$2,DataReport!$F$3:$F$999,Charts!AB17,DataReport!$S$3:$S$999,Charts!$AC$2)</f>
        <v>0</v>
      </c>
      <c r="AD17" s="21">
        <f>COUNTIFS(DataReport!$D$3:$D$999,Charts!$AB$2,DataReport!$F$3:$F$999,Charts!AB17,DataReport!$S$3:$S$999,Charts!$AD$2)</f>
        <v>0</v>
      </c>
      <c r="AF17" s="75">
        <v>44819</v>
      </c>
      <c r="AG17" s="21">
        <f>COUNTIFS(DataReport!$D$3:$D$999,Charts!$AF$2,DataReport!$F$3:$F$999,Charts!AF17,DataReport!$S$3:$S$999,Charts!$AG$2)</f>
        <v>0</v>
      </c>
      <c r="AH17" s="21">
        <f>COUNTIFS(DataReport!$D$3:$D$999,Charts!$AF$2,DataReport!$F$3:$F$999,Charts!AF17,DataReport!$S$3:$S$999,Charts!$AH$2)</f>
        <v>0</v>
      </c>
      <c r="AJ17" s="75">
        <v>44819</v>
      </c>
      <c r="AK17" s="21">
        <f>COUNTIFS(DataReport!$D$3:$D$999,Charts!$AJ$2,DataReport!$F$3:$F$999,Charts!AJ17,DataReport!$S$3:$S$999,Charts!$AK$2)</f>
        <v>0</v>
      </c>
      <c r="AL17" s="21">
        <f>COUNTIFS(DataReport!$D$3:$D$999,Charts!$AJ$2,DataReport!$F$3:$F$999,Charts!AJ17,DataReport!$S$3:$S$999,Charts!$AL$2)</f>
        <v>0</v>
      </c>
      <c r="AN17" s="75">
        <v>44819</v>
      </c>
      <c r="AO17" s="21">
        <f>COUNTIFS(DataReport!$D$3:$D$999,Charts!$AN$2,DataReport!$F$3:$F$999,Charts!AN17,DataReport!$S$3:$S$999,Charts!$AO$2)</f>
        <v>0</v>
      </c>
      <c r="AP17" s="21">
        <f>COUNTIFS(DataReport!$D$3:$D$999,Charts!$AN$2,DataReport!$F$3:$F$999,Charts!AN17,DataReport!$S$3:$S$999,Charts!$AP$2)</f>
        <v>0</v>
      </c>
    </row>
    <row r="18" spans="1:42" x14ac:dyDescent="0.25">
      <c r="A18" s="75">
        <v>44820</v>
      </c>
      <c r="B18" s="21">
        <v>16</v>
      </c>
      <c r="C18" s="21">
        <f>COUNTIF(DataReport!$A$2:$AT$999,Charts!A18)</f>
        <v>0</v>
      </c>
      <c r="L18" s="80" t="s">
        <v>331</v>
      </c>
      <c r="R18" s="78"/>
      <c r="X18" s="75">
        <v>44820</v>
      </c>
      <c r="Y18" s="21">
        <f>COUNTIFS(DataReport!$D$3:$D$999,Charts!$X$2,DataReport!$F$3:$F$999,Charts!X18,DataReport!$S$3:$S$999,Charts!$Y$2)</f>
        <v>0</v>
      </c>
      <c r="Z18" s="21">
        <f>COUNTIFS(DataReport!$D$3:$D$999,Charts!$X$2,DataReport!$F$3:$F$999,Charts!X18,DataReport!$S$3:$S$999,Charts!$Z$2)</f>
        <v>0</v>
      </c>
      <c r="AB18" s="75">
        <v>44820</v>
      </c>
      <c r="AC18" s="21">
        <f>COUNTIFS(DataReport!$D$3:$D$999,Charts!$AB$2,DataReport!$F$3:$F$999,Charts!AB18,DataReport!$S$3:$S$999,Charts!$AC$2)</f>
        <v>0</v>
      </c>
      <c r="AD18" s="21">
        <f>COUNTIFS(DataReport!$D$3:$D$999,Charts!$AB$2,DataReport!$F$3:$F$999,Charts!AB18,DataReport!$S$3:$S$999,Charts!$AD$2)</f>
        <v>0</v>
      </c>
      <c r="AF18" s="75">
        <v>44820</v>
      </c>
      <c r="AG18" s="21">
        <f>COUNTIFS(DataReport!$D$3:$D$999,Charts!$AF$2,DataReport!$F$3:$F$999,Charts!AF18,DataReport!$S$3:$S$999,Charts!$AG$2)</f>
        <v>0</v>
      </c>
      <c r="AH18" s="21">
        <f>COUNTIFS(DataReport!$D$3:$D$999,Charts!$AF$2,DataReport!$F$3:$F$999,Charts!AF18,DataReport!$S$3:$S$999,Charts!$AH$2)</f>
        <v>0</v>
      </c>
      <c r="AJ18" s="75">
        <v>44820</v>
      </c>
      <c r="AK18" s="21">
        <f>COUNTIFS(DataReport!$D$3:$D$999,Charts!$AJ$2,DataReport!$F$3:$F$999,Charts!AJ18,DataReport!$S$3:$S$999,Charts!$AK$2)</f>
        <v>0</v>
      </c>
      <c r="AL18" s="21">
        <f>COUNTIFS(DataReport!$D$3:$D$999,Charts!$AJ$2,DataReport!$F$3:$F$999,Charts!AJ18,DataReport!$S$3:$S$999,Charts!$AL$2)</f>
        <v>0</v>
      </c>
      <c r="AN18" s="75">
        <v>44820</v>
      </c>
      <c r="AO18" s="21">
        <f>COUNTIFS(DataReport!$D$3:$D$999,Charts!$AN$2,DataReport!$F$3:$F$999,Charts!AN18,DataReport!$S$3:$S$999,Charts!$AO$2)</f>
        <v>0</v>
      </c>
      <c r="AP18" s="21">
        <f>COUNTIFS(DataReport!$D$3:$D$999,Charts!$AN$2,DataReport!$F$3:$F$999,Charts!AN18,DataReport!$S$3:$S$999,Charts!$AP$2)</f>
        <v>0</v>
      </c>
    </row>
    <row r="19" spans="1:42" x14ac:dyDescent="0.25">
      <c r="A19" s="75">
        <v>44821</v>
      </c>
      <c r="B19" s="21">
        <v>17</v>
      </c>
      <c r="C19" s="21">
        <f>COUNTIF(DataReport!$A$2:$AT$999,Charts!A19)</f>
        <v>0</v>
      </c>
      <c r="L19" s="80" t="s">
        <v>332</v>
      </c>
      <c r="R19" s="78"/>
      <c r="X19" s="75">
        <v>44821</v>
      </c>
      <c r="Y19" s="21">
        <f>COUNTIFS(DataReport!$D$3:$D$999,Charts!$X$2,DataReport!$F$3:$F$999,Charts!X19,DataReport!$S$3:$S$999,Charts!$Y$2)</f>
        <v>0</v>
      </c>
      <c r="Z19" s="21">
        <f>COUNTIFS(DataReport!$D$3:$D$999,Charts!$X$2,DataReport!$F$3:$F$999,Charts!X19,DataReport!$S$3:$S$999,Charts!$Z$2)</f>
        <v>0</v>
      </c>
      <c r="AB19" s="75">
        <v>44821</v>
      </c>
      <c r="AC19" s="21">
        <f>COUNTIFS(DataReport!$D$3:$D$999,Charts!$AB$2,DataReport!$F$3:$F$999,Charts!AB19,DataReport!$S$3:$S$999,Charts!$AC$2)</f>
        <v>0</v>
      </c>
      <c r="AD19" s="21">
        <f>COUNTIFS(DataReport!$D$3:$D$999,Charts!$AB$2,DataReport!$F$3:$F$999,Charts!AB19,DataReport!$S$3:$S$999,Charts!$AD$2)</f>
        <v>0</v>
      </c>
      <c r="AF19" s="75">
        <v>44821</v>
      </c>
      <c r="AG19" s="21">
        <f>COUNTIFS(DataReport!$D$3:$D$999,Charts!$AF$2,DataReport!$F$3:$F$999,Charts!AF19,DataReport!$S$3:$S$999,Charts!$AG$2)</f>
        <v>0</v>
      </c>
      <c r="AH19" s="21">
        <f>COUNTIFS(DataReport!$D$3:$D$999,Charts!$AF$2,DataReport!$F$3:$F$999,Charts!AF19,DataReport!$S$3:$S$999,Charts!$AH$2)</f>
        <v>0</v>
      </c>
      <c r="AJ19" s="75">
        <v>44821</v>
      </c>
      <c r="AK19" s="21">
        <f>COUNTIFS(DataReport!$D$3:$D$999,Charts!$AJ$2,DataReport!$F$3:$F$999,Charts!AJ19,DataReport!$S$3:$S$999,Charts!$AK$2)</f>
        <v>0</v>
      </c>
      <c r="AL19" s="21">
        <f>COUNTIFS(DataReport!$D$3:$D$999,Charts!$AJ$2,DataReport!$F$3:$F$999,Charts!AJ19,DataReport!$S$3:$S$999,Charts!$AL$2)</f>
        <v>0</v>
      </c>
      <c r="AN19" s="75">
        <v>44821</v>
      </c>
      <c r="AO19" s="21">
        <f>COUNTIFS(DataReport!$D$3:$D$999,Charts!$AN$2,DataReport!$F$3:$F$999,Charts!AN19,DataReport!$S$3:$S$999,Charts!$AO$2)</f>
        <v>0</v>
      </c>
      <c r="AP19" s="21">
        <f>COUNTIFS(DataReport!$D$3:$D$999,Charts!$AN$2,DataReport!$F$3:$F$999,Charts!AN19,DataReport!$S$3:$S$999,Charts!$AP$2)</f>
        <v>0</v>
      </c>
    </row>
    <row r="20" spans="1:42" x14ac:dyDescent="0.25">
      <c r="A20" s="75">
        <v>44822</v>
      </c>
      <c r="B20" s="21">
        <v>18</v>
      </c>
      <c r="C20" s="21">
        <f>COUNTIF(DataReport!$A$2:$AT$999,Charts!A20)</f>
        <v>0</v>
      </c>
      <c r="L20" s="80" t="s">
        <v>333</v>
      </c>
      <c r="R20" s="78"/>
      <c r="X20" s="75">
        <v>44822</v>
      </c>
      <c r="Y20" s="21">
        <f>COUNTIFS(DataReport!$D$3:$D$999,Charts!$X$2,DataReport!$F$3:$F$999,Charts!X20,DataReport!$S$3:$S$999,Charts!$Y$2)</f>
        <v>0</v>
      </c>
      <c r="Z20" s="21">
        <f>COUNTIFS(DataReport!$D$3:$D$999,Charts!$X$2,DataReport!$F$3:$F$999,Charts!X20,DataReport!$S$3:$S$999,Charts!$Z$2)</f>
        <v>0</v>
      </c>
      <c r="AB20" s="75">
        <v>44822</v>
      </c>
      <c r="AC20" s="21">
        <f>COUNTIFS(DataReport!$D$3:$D$999,Charts!$AB$2,DataReport!$F$3:$F$999,Charts!AB20,DataReport!$S$3:$S$999,Charts!$AC$2)</f>
        <v>0</v>
      </c>
      <c r="AD20" s="21">
        <f>COUNTIFS(DataReport!$D$3:$D$999,Charts!$AB$2,DataReport!$F$3:$F$999,Charts!AB20,DataReport!$S$3:$S$999,Charts!$AD$2)</f>
        <v>0</v>
      </c>
      <c r="AF20" s="75">
        <v>44822</v>
      </c>
      <c r="AG20" s="21">
        <f>COUNTIFS(DataReport!$D$3:$D$999,Charts!$AF$2,DataReport!$F$3:$F$999,Charts!AF20,DataReport!$S$3:$S$999,Charts!$AG$2)</f>
        <v>0</v>
      </c>
      <c r="AH20" s="21">
        <f>COUNTIFS(DataReport!$D$3:$D$999,Charts!$AF$2,DataReport!$F$3:$F$999,Charts!AF20,DataReport!$S$3:$S$999,Charts!$AH$2)</f>
        <v>0</v>
      </c>
      <c r="AJ20" s="75">
        <v>44822</v>
      </c>
      <c r="AK20" s="21">
        <f>COUNTIFS(DataReport!$D$3:$D$999,Charts!$AJ$2,DataReport!$F$3:$F$999,Charts!AJ20,DataReport!$S$3:$S$999,Charts!$AK$2)</f>
        <v>0</v>
      </c>
      <c r="AL20" s="21">
        <f>COUNTIFS(DataReport!$D$3:$D$999,Charts!$AJ$2,DataReport!$F$3:$F$999,Charts!AJ20,DataReport!$S$3:$S$999,Charts!$AL$2)</f>
        <v>0</v>
      </c>
      <c r="AN20" s="75">
        <v>44822</v>
      </c>
      <c r="AO20" s="21">
        <f>COUNTIFS(DataReport!$D$3:$D$999,Charts!$AN$2,DataReport!$F$3:$F$999,Charts!AN20,DataReport!$S$3:$S$999,Charts!$AO$2)</f>
        <v>0</v>
      </c>
      <c r="AP20" s="21">
        <f>COUNTIFS(DataReport!$D$3:$D$999,Charts!$AN$2,DataReport!$F$3:$F$999,Charts!AN20,DataReport!$S$3:$S$999,Charts!$AP$2)</f>
        <v>0</v>
      </c>
    </row>
    <row r="21" spans="1:42" x14ac:dyDescent="0.25">
      <c r="A21" s="75">
        <v>44823</v>
      </c>
      <c r="B21" s="21">
        <v>19</v>
      </c>
      <c r="C21" s="21">
        <f>COUNTIF(DataReport!$A$2:$AT$999,Charts!A21)</f>
        <v>0</v>
      </c>
      <c r="L21" s="80" t="s">
        <v>334</v>
      </c>
      <c r="R21" s="78"/>
      <c r="X21" s="75">
        <v>44823</v>
      </c>
      <c r="Y21" s="21">
        <f>COUNTIFS(DataReport!$D$3:$D$999,Charts!$X$2,DataReport!$F$3:$F$999,Charts!X21,DataReport!$S$3:$S$999,Charts!$Y$2)</f>
        <v>0</v>
      </c>
      <c r="Z21" s="21">
        <f>COUNTIFS(DataReport!$D$3:$D$999,Charts!$X$2,DataReport!$F$3:$F$999,Charts!X21,DataReport!$S$3:$S$999,Charts!$Z$2)</f>
        <v>0</v>
      </c>
      <c r="AB21" s="75">
        <v>44823</v>
      </c>
      <c r="AC21" s="21">
        <f>COUNTIFS(DataReport!$D$3:$D$999,Charts!$AB$2,DataReport!$F$3:$F$999,Charts!AB21,DataReport!$S$3:$S$999,Charts!$AC$2)</f>
        <v>0</v>
      </c>
      <c r="AD21" s="21">
        <f>COUNTIFS(DataReport!$D$3:$D$999,Charts!$AB$2,DataReport!$F$3:$F$999,Charts!AB21,DataReport!$S$3:$S$999,Charts!$AD$2)</f>
        <v>0</v>
      </c>
      <c r="AF21" s="75">
        <v>44823</v>
      </c>
      <c r="AG21" s="21">
        <f>COUNTIFS(DataReport!$D$3:$D$999,Charts!$AF$2,DataReport!$F$3:$F$999,Charts!AF21,DataReport!$S$3:$S$999,Charts!$AG$2)</f>
        <v>0</v>
      </c>
      <c r="AH21" s="21">
        <f>COUNTIFS(DataReport!$D$3:$D$999,Charts!$AF$2,DataReport!$F$3:$F$999,Charts!AF21,DataReport!$S$3:$S$999,Charts!$AH$2)</f>
        <v>0</v>
      </c>
      <c r="AJ21" s="75">
        <v>44823</v>
      </c>
      <c r="AK21" s="21">
        <f>COUNTIFS(DataReport!$D$3:$D$999,Charts!$AJ$2,DataReport!$F$3:$F$999,Charts!AJ21,DataReport!$S$3:$S$999,Charts!$AK$2)</f>
        <v>0</v>
      </c>
      <c r="AL21" s="21">
        <f>COUNTIFS(DataReport!$D$3:$D$999,Charts!$AJ$2,DataReport!$F$3:$F$999,Charts!AJ21,DataReport!$S$3:$S$999,Charts!$AL$2)</f>
        <v>0</v>
      </c>
      <c r="AN21" s="75">
        <v>44823</v>
      </c>
      <c r="AO21" s="21">
        <f>COUNTIFS(DataReport!$D$3:$D$999,Charts!$AN$2,DataReport!$F$3:$F$999,Charts!AN21,DataReport!$S$3:$S$999,Charts!$AO$2)</f>
        <v>0</v>
      </c>
      <c r="AP21" s="21">
        <f>COUNTIFS(DataReport!$D$3:$D$999,Charts!$AN$2,DataReport!$F$3:$F$999,Charts!AN21,DataReport!$S$3:$S$999,Charts!$AP$2)</f>
        <v>0</v>
      </c>
    </row>
    <row r="22" spans="1:42" x14ac:dyDescent="0.25">
      <c r="A22" s="75">
        <v>44824</v>
      </c>
      <c r="B22" s="21">
        <v>20</v>
      </c>
      <c r="C22" s="21">
        <f>COUNTIF(DataReport!$A$2:$AT$999,Charts!A22)</f>
        <v>0</v>
      </c>
      <c r="L22" s="80" t="s">
        <v>335</v>
      </c>
      <c r="R22" s="78"/>
      <c r="X22" s="75">
        <v>44824</v>
      </c>
      <c r="Y22" s="21">
        <f>COUNTIFS(DataReport!$D$3:$D$999,Charts!$X$2,DataReport!$F$3:$F$999,Charts!X22,DataReport!$S$3:$S$999,Charts!$Y$2)</f>
        <v>0</v>
      </c>
      <c r="Z22" s="21">
        <f>COUNTIFS(DataReport!$D$3:$D$999,Charts!$X$2,DataReport!$F$3:$F$999,Charts!X22,DataReport!$S$3:$S$999,Charts!$Z$2)</f>
        <v>0</v>
      </c>
      <c r="AB22" s="75">
        <v>44824</v>
      </c>
      <c r="AC22" s="21">
        <f>COUNTIFS(DataReport!$D$3:$D$999,Charts!$AB$2,DataReport!$F$3:$F$999,Charts!AB22,DataReport!$S$3:$S$999,Charts!$AC$2)</f>
        <v>0</v>
      </c>
      <c r="AD22" s="21">
        <f>COUNTIFS(DataReport!$D$3:$D$999,Charts!$AB$2,DataReport!$F$3:$F$999,Charts!AB22,DataReport!$S$3:$S$999,Charts!$AD$2)</f>
        <v>0</v>
      </c>
      <c r="AF22" s="75">
        <v>44824</v>
      </c>
      <c r="AG22" s="21">
        <f>COUNTIFS(DataReport!$D$3:$D$999,Charts!$AF$2,DataReport!$F$3:$F$999,Charts!AF22,DataReport!$S$3:$S$999,Charts!$AG$2)</f>
        <v>0</v>
      </c>
      <c r="AH22" s="21">
        <f>COUNTIFS(DataReport!$D$3:$D$999,Charts!$AF$2,DataReport!$F$3:$F$999,Charts!AF22,DataReport!$S$3:$S$999,Charts!$AH$2)</f>
        <v>0</v>
      </c>
      <c r="AJ22" s="75">
        <v>44824</v>
      </c>
      <c r="AK22" s="21">
        <f>COUNTIFS(DataReport!$D$3:$D$999,Charts!$AJ$2,DataReport!$F$3:$F$999,Charts!AJ22,DataReport!$S$3:$S$999,Charts!$AK$2)</f>
        <v>0</v>
      </c>
      <c r="AL22" s="21">
        <f>COUNTIFS(DataReport!$D$3:$D$999,Charts!$AJ$2,DataReport!$F$3:$F$999,Charts!AJ22,DataReport!$S$3:$S$999,Charts!$AL$2)</f>
        <v>0</v>
      </c>
      <c r="AN22" s="75">
        <v>44824</v>
      </c>
      <c r="AO22" s="21">
        <f>COUNTIFS(DataReport!$D$3:$D$999,Charts!$AN$2,DataReport!$F$3:$F$999,Charts!AN22,DataReport!$S$3:$S$999,Charts!$AO$2)</f>
        <v>0</v>
      </c>
      <c r="AP22" s="21">
        <f>COUNTIFS(DataReport!$D$3:$D$999,Charts!$AN$2,DataReport!$F$3:$F$999,Charts!AN22,DataReport!$S$3:$S$999,Charts!$AP$2)</f>
        <v>0</v>
      </c>
    </row>
    <row r="23" spans="1:42" x14ac:dyDescent="0.25">
      <c r="A23" s="75">
        <v>44825</v>
      </c>
      <c r="B23" s="21">
        <v>21</v>
      </c>
      <c r="C23" s="21">
        <f>COUNTIF(DataReport!$A$2:$AT$999,Charts!A23)</f>
        <v>0</v>
      </c>
      <c r="L23" s="80" t="s">
        <v>336</v>
      </c>
      <c r="R23" s="78"/>
      <c r="X23" s="75">
        <v>44825</v>
      </c>
      <c r="Y23" s="21">
        <f>COUNTIFS(DataReport!$D$3:$D$999,Charts!$X$2,DataReport!$F$3:$F$999,Charts!X23,DataReport!$S$3:$S$999,Charts!$Y$2)</f>
        <v>0</v>
      </c>
      <c r="Z23" s="21">
        <f>COUNTIFS(DataReport!$D$3:$D$999,Charts!$X$2,DataReport!$F$3:$F$999,Charts!X23,DataReport!$S$3:$S$999,Charts!$Z$2)</f>
        <v>0</v>
      </c>
      <c r="AB23" s="75">
        <v>44825</v>
      </c>
      <c r="AC23" s="21">
        <f>COUNTIFS(DataReport!$D$3:$D$999,Charts!$AB$2,DataReport!$F$3:$F$999,Charts!AB23,DataReport!$S$3:$S$999,Charts!$AC$2)</f>
        <v>0</v>
      </c>
      <c r="AD23" s="21">
        <f>COUNTIFS(DataReport!$D$3:$D$999,Charts!$AB$2,DataReport!$F$3:$F$999,Charts!AB23,DataReport!$S$3:$S$999,Charts!$AD$2)</f>
        <v>0</v>
      </c>
      <c r="AF23" s="75">
        <v>44825</v>
      </c>
      <c r="AG23" s="21">
        <f>COUNTIFS(DataReport!$D$3:$D$999,Charts!$AF$2,DataReport!$F$3:$F$999,Charts!AF23,DataReport!$S$3:$S$999,Charts!$AG$2)</f>
        <v>0</v>
      </c>
      <c r="AH23" s="21">
        <f>COUNTIFS(DataReport!$D$3:$D$999,Charts!$AF$2,DataReport!$F$3:$F$999,Charts!AF23,DataReport!$S$3:$S$999,Charts!$AH$2)</f>
        <v>0</v>
      </c>
      <c r="AJ23" s="75">
        <v>44825</v>
      </c>
      <c r="AK23" s="21">
        <f>COUNTIFS(DataReport!$D$3:$D$999,Charts!$AJ$2,DataReport!$F$3:$F$999,Charts!AJ23,DataReport!$S$3:$S$999,Charts!$AK$2)</f>
        <v>0</v>
      </c>
      <c r="AL23" s="21">
        <f>COUNTIFS(DataReport!$D$3:$D$999,Charts!$AJ$2,DataReport!$F$3:$F$999,Charts!AJ23,DataReport!$S$3:$S$999,Charts!$AL$2)</f>
        <v>0</v>
      </c>
      <c r="AN23" s="75">
        <v>44825</v>
      </c>
      <c r="AO23" s="21">
        <f>COUNTIFS(DataReport!$D$3:$D$999,Charts!$AN$2,DataReport!$F$3:$F$999,Charts!AN23,DataReport!$S$3:$S$999,Charts!$AO$2)</f>
        <v>0</v>
      </c>
      <c r="AP23" s="21">
        <f>COUNTIFS(DataReport!$D$3:$D$999,Charts!$AN$2,DataReport!$F$3:$F$999,Charts!AN23,DataReport!$S$3:$S$999,Charts!$AP$2)</f>
        <v>0</v>
      </c>
    </row>
    <row r="24" spans="1:42" x14ac:dyDescent="0.25">
      <c r="A24" s="75">
        <v>44826</v>
      </c>
      <c r="B24" s="21">
        <v>22</v>
      </c>
      <c r="C24" s="21">
        <f>COUNTIF(DataReport!$A$2:$AT$999,Charts!A24)</f>
        <v>0</v>
      </c>
      <c r="L24" s="80" t="s">
        <v>337</v>
      </c>
      <c r="R24" s="78"/>
      <c r="X24" s="75">
        <v>44826</v>
      </c>
      <c r="Y24" s="21">
        <f>COUNTIFS(DataReport!$D$3:$D$999,Charts!$X$2,DataReport!$F$3:$F$999,Charts!X24,DataReport!$S$3:$S$999,Charts!$Y$2)</f>
        <v>0</v>
      </c>
      <c r="Z24" s="21">
        <f>COUNTIFS(DataReport!$D$3:$D$999,Charts!$X$2,DataReport!$F$3:$F$999,Charts!X24,DataReport!$S$3:$S$999,Charts!$Z$2)</f>
        <v>0</v>
      </c>
      <c r="AB24" s="75">
        <v>44826</v>
      </c>
      <c r="AC24" s="21">
        <f>COUNTIFS(DataReport!$D$3:$D$999,Charts!$AB$2,DataReport!$F$3:$F$999,Charts!AB24,DataReport!$S$3:$S$999,Charts!$AC$2)</f>
        <v>0</v>
      </c>
      <c r="AD24" s="21">
        <f>COUNTIFS(DataReport!$D$3:$D$999,Charts!$AB$2,DataReport!$F$3:$F$999,Charts!AB24,DataReport!$S$3:$S$999,Charts!$AD$2)</f>
        <v>0</v>
      </c>
      <c r="AF24" s="75">
        <v>44826</v>
      </c>
      <c r="AG24" s="21">
        <f>COUNTIFS(DataReport!$D$3:$D$999,Charts!$AF$2,DataReport!$F$3:$F$999,Charts!AF24,DataReport!$S$3:$S$999,Charts!$AG$2)</f>
        <v>0</v>
      </c>
      <c r="AH24" s="21">
        <f>COUNTIFS(DataReport!$D$3:$D$999,Charts!$AF$2,DataReport!$F$3:$F$999,Charts!AF24,DataReport!$S$3:$S$999,Charts!$AH$2)</f>
        <v>0</v>
      </c>
      <c r="AJ24" s="75">
        <v>44826</v>
      </c>
      <c r="AK24" s="21">
        <f>COUNTIFS(DataReport!$D$3:$D$999,Charts!$AJ$2,DataReport!$F$3:$F$999,Charts!AJ24,DataReport!$S$3:$S$999,Charts!$AK$2)</f>
        <v>0</v>
      </c>
      <c r="AL24" s="21">
        <f>COUNTIFS(DataReport!$D$3:$D$999,Charts!$AJ$2,DataReport!$F$3:$F$999,Charts!AJ24,DataReport!$S$3:$S$999,Charts!$AL$2)</f>
        <v>0</v>
      </c>
      <c r="AN24" s="75">
        <v>44826</v>
      </c>
      <c r="AO24" s="21">
        <f>COUNTIFS(DataReport!$D$3:$D$999,Charts!$AN$2,DataReport!$F$3:$F$999,Charts!AN24,DataReport!$S$3:$S$999,Charts!$AO$2)</f>
        <v>0</v>
      </c>
      <c r="AP24" s="21">
        <f>COUNTIFS(DataReport!$D$3:$D$999,Charts!$AN$2,DataReport!$F$3:$F$999,Charts!AN24,DataReport!$S$3:$S$999,Charts!$AP$2)</f>
        <v>0</v>
      </c>
    </row>
    <row r="25" spans="1:42" x14ac:dyDescent="0.25">
      <c r="A25" s="75">
        <v>44827</v>
      </c>
      <c r="B25" s="21">
        <v>23</v>
      </c>
      <c r="C25" s="21">
        <f>COUNTIF(DataReport!$A$2:$AT$999,Charts!A25)</f>
        <v>0</v>
      </c>
      <c r="L25" s="80" t="s">
        <v>338</v>
      </c>
      <c r="R25" s="78"/>
      <c r="X25" s="75">
        <v>44827</v>
      </c>
      <c r="Y25" s="21">
        <f>COUNTIFS(DataReport!$D$3:$D$999,Charts!$X$2,DataReport!$F$3:$F$999,Charts!X25,DataReport!$S$3:$S$999,Charts!$Y$2)</f>
        <v>0</v>
      </c>
      <c r="Z25" s="21">
        <f>COUNTIFS(DataReport!$D$3:$D$999,Charts!$X$2,DataReport!$F$3:$F$999,Charts!X25,DataReport!$S$3:$S$999,Charts!$Z$2)</f>
        <v>0</v>
      </c>
      <c r="AB25" s="75">
        <v>44827</v>
      </c>
      <c r="AC25" s="21">
        <f>COUNTIFS(DataReport!$D$3:$D$999,Charts!$AB$2,DataReport!$F$3:$F$999,Charts!AB25,DataReport!$S$3:$S$999,Charts!$AC$2)</f>
        <v>0</v>
      </c>
      <c r="AD25" s="21">
        <f>COUNTIFS(DataReport!$D$3:$D$999,Charts!$AB$2,DataReport!$F$3:$F$999,Charts!AB25,DataReport!$S$3:$S$999,Charts!$AD$2)</f>
        <v>0</v>
      </c>
      <c r="AF25" s="75">
        <v>44827</v>
      </c>
      <c r="AG25" s="21">
        <f>COUNTIFS(DataReport!$D$3:$D$999,Charts!$AF$2,DataReport!$F$3:$F$999,Charts!AF25,DataReport!$S$3:$S$999,Charts!$AG$2)</f>
        <v>0</v>
      </c>
      <c r="AH25" s="21">
        <f>COUNTIFS(DataReport!$D$3:$D$999,Charts!$AF$2,DataReport!$F$3:$F$999,Charts!AF25,DataReport!$S$3:$S$999,Charts!$AH$2)</f>
        <v>0</v>
      </c>
      <c r="AJ25" s="75">
        <v>44827</v>
      </c>
      <c r="AK25" s="21">
        <f>COUNTIFS(DataReport!$D$3:$D$999,Charts!$AJ$2,DataReport!$F$3:$F$999,Charts!AJ25,DataReport!$S$3:$S$999,Charts!$AK$2)</f>
        <v>0</v>
      </c>
      <c r="AL25" s="21">
        <f>COUNTIFS(DataReport!$D$3:$D$999,Charts!$AJ$2,DataReport!$F$3:$F$999,Charts!AJ25,DataReport!$S$3:$S$999,Charts!$AL$2)</f>
        <v>0</v>
      </c>
      <c r="AN25" s="75">
        <v>44827</v>
      </c>
      <c r="AO25" s="21">
        <f>COUNTIFS(DataReport!$D$3:$D$999,Charts!$AN$2,DataReport!$F$3:$F$999,Charts!AN25,DataReport!$S$3:$S$999,Charts!$AO$2)</f>
        <v>0</v>
      </c>
      <c r="AP25" s="21">
        <f>COUNTIFS(DataReport!$D$3:$D$999,Charts!$AN$2,DataReport!$F$3:$F$999,Charts!AN25,DataReport!$S$3:$S$999,Charts!$AP$2)</f>
        <v>0</v>
      </c>
    </row>
    <row r="26" spans="1:42" x14ac:dyDescent="0.25">
      <c r="A26" s="75">
        <v>44828</v>
      </c>
      <c r="B26" s="21">
        <v>24</v>
      </c>
      <c r="C26" s="21">
        <f>COUNTIF(DataReport!$A$2:$AT$999,Charts!A26)</f>
        <v>0</v>
      </c>
      <c r="L26" s="80" t="s">
        <v>339</v>
      </c>
      <c r="R26" s="78"/>
      <c r="X26" s="75">
        <v>44828</v>
      </c>
      <c r="Y26" s="21">
        <f>COUNTIFS(DataReport!$D$3:$D$999,Charts!$X$2,DataReport!$F$3:$F$999,Charts!X26,DataReport!$S$3:$S$999,Charts!$Y$2)</f>
        <v>0</v>
      </c>
      <c r="Z26" s="21">
        <f>COUNTIFS(DataReport!$D$3:$D$999,Charts!$X$2,DataReport!$F$3:$F$999,Charts!X26,DataReport!$S$3:$S$999,Charts!$Z$2)</f>
        <v>0</v>
      </c>
      <c r="AB26" s="75">
        <v>44828</v>
      </c>
      <c r="AC26" s="21">
        <f>COUNTIFS(DataReport!$D$3:$D$999,Charts!$AB$2,DataReport!$F$3:$F$999,Charts!AB26,DataReport!$S$3:$S$999,Charts!$AC$2)</f>
        <v>0</v>
      </c>
      <c r="AD26" s="21">
        <f>COUNTIFS(DataReport!$D$3:$D$999,Charts!$AB$2,DataReport!$F$3:$F$999,Charts!AB26,DataReport!$S$3:$S$999,Charts!$AD$2)</f>
        <v>0</v>
      </c>
      <c r="AF26" s="75">
        <v>44828</v>
      </c>
      <c r="AG26" s="21">
        <f>COUNTIFS(DataReport!$D$3:$D$999,Charts!$AF$2,DataReport!$F$3:$F$999,Charts!AF26,DataReport!$S$3:$S$999,Charts!$AG$2)</f>
        <v>0</v>
      </c>
      <c r="AH26" s="21">
        <f>COUNTIFS(DataReport!$D$3:$D$999,Charts!$AF$2,DataReport!$F$3:$F$999,Charts!AF26,DataReport!$S$3:$S$999,Charts!$AH$2)</f>
        <v>0</v>
      </c>
      <c r="AJ26" s="75">
        <v>44828</v>
      </c>
      <c r="AK26" s="21">
        <f>COUNTIFS(DataReport!$D$3:$D$999,Charts!$AJ$2,DataReport!$F$3:$F$999,Charts!AJ26,DataReport!$S$3:$S$999,Charts!$AK$2)</f>
        <v>0</v>
      </c>
      <c r="AL26" s="21">
        <f>COUNTIFS(DataReport!$D$3:$D$999,Charts!$AJ$2,DataReport!$F$3:$F$999,Charts!AJ26,DataReport!$S$3:$S$999,Charts!$AL$2)</f>
        <v>0</v>
      </c>
      <c r="AN26" s="75">
        <v>44828</v>
      </c>
      <c r="AO26" s="21">
        <f>COUNTIFS(DataReport!$D$3:$D$999,Charts!$AN$2,DataReport!$F$3:$F$999,Charts!AN26,DataReport!$S$3:$S$999,Charts!$AO$2)</f>
        <v>0</v>
      </c>
      <c r="AP26" s="21">
        <f>COUNTIFS(DataReport!$D$3:$D$999,Charts!$AN$2,DataReport!$F$3:$F$999,Charts!AN26,DataReport!$S$3:$S$999,Charts!$AP$2)</f>
        <v>0</v>
      </c>
    </row>
    <row r="27" spans="1:42" x14ac:dyDescent="0.25">
      <c r="A27" s="75">
        <v>44829</v>
      </c>
      <c r="B27" s="21">
        <v>25</v>
      </c>
      <c r="C27" s="21">
        <f>COUNTIF(DataReport!$A$2:$AT$999,Charts!A27)</f>
        <v>0</v>
      </c>
      <c r="L27" s="81" t="s">
        <v>340</v>
      </c>
      <c r="R27" s="78"/>
      <c r="X27" s="75">
        <v>44829</v>
      </c>
      <c r="Y27" s="21">
        <f>COUNTIFS(DataReport!$D$3:$D$999,Charts!$X$2,DataReport!$F$3:$F$999,Charts!X27,DataReport!$S$3:$S$999,Charts!$Y$2)</f>
        <v>0</v>
      </c>
      <c r="Z27" s="21">
        <f>COUNTIFS(DataReport!$D$3:$D$999,Charts!$X$2,DataReport!$F$3:$F$999,Charts!X27,DataReport!$S$3:$S$999,Charts!$Z$2)</f>
        <v>0</v>
      </c>
      <c r="AB27" s="75">
        <v>44829</v>
      </c>
      <c r="AC27" s="21">
        <f>COUNTIFS(DataReport!$D$3:$D$999,Charts!$AB$2,DataReport!$F$3:$F$999,Charts!AB27,DataReport!$S$3:$S$999,Charts!$AC$2)</f>
        <v>0</v>
      </c>
      <c r="AD27" s="21">
        <f>COUNTIFS(DataReport!$D$3:$D$999,Charts!$AB$2,DataReport!$F$3:$F$999,Charts!AB27,DataReport!$S$3:$S$999,Charts!$AD$2)</f>
        <v>0</v>
      </c>
      <c r="AF27" s="75">
        <v>44829</v>
      </c>
      <c r="AG27" s="21">
        <f>COUNTIFS(DataReport!$D$3:$D$999,Charts!$AF$2,DataReport!$F$3:$F$999,Charts!AF27,DataReport!$S$3:$S$999,Charts!$AG$2)</f>
        <v>0</v>
      </c>
      <c r="AH27" s="21">
        <f>COUNTIFS(DataReport!$D$3:$D$999,Charts!$AF$2,DataReport!$F$3:$F$999,Charts!AF27,DataReport!$S$3:$S$999,Charts!$AH$2)</f>
        <v>0</v>
      </c>
      <c r="AJ27" s="75">
        <v>44829</v>
      </c>
      <c r="AK27" s="21">
        <f>COUNTIFS(DataReport!$D$3:$D$999,Charts!$AJ$2,DataReport!$F$3:$F$999,Charts!AJ27,DataReport!$S$3:$S$999,Charts!$AK$2)</f>
        <v>0</v>
      </c>
      <c r="AL27" s="21">
        <f>COUNTIFS(DataReport!$D$3:$D$999,Charts!$AJ$2,DataReport!$F$3:$F$999,Charts!AJ27,DataReport!$S$3:$S$999,Charts!$AL$2)</f>
        <v>0</v>
      </c>
      <c r="AN27" s="75">
        <v>44829</v>
      </c>
      <c r="AO27" s="21">
        <f>COUNTIFS(DataReport!$D$3:$D$999,Charts!$AN$2,DataReport!$F$3:$F$999,Charts!AN27,DataReport!$S$3:$S$999,Charts!$AO$2)</f>
        <v>0</v>
      </c>
      <c r="AP27" s="21">
        <f>COUNTIFS(DataReport!$D$3:$D$999,Charts!$AN$2,DataReport!$F$3:$F$999,Charts!AN27,DataReport!$S$3:$S$999,Charts!$AP$2)</f>
        <v>0</v>
      </c>
    </row>
    <row r="28" spans="1:42" x14ac:dyDescent="0.25">
      <c r="A28" s="75">
        <v>44830</v>
      </c>
      <c r="B28" s="21">
        <v>26</v>
      </c>
      <c r="C28" s="21">
        <f>COUNTIF(DataReport!$A$2:$AT$999,Charts!A28)</f>
        <v>0</v>
      </c>
      <c r="R28" s="78"/>
      <c r="X28" s="75">
        <v>44830</v>
      </c>
      <c r="Y28" s="21">
        <f>COUNTIFS(DataReport!$D$3:$D$999,Charts!$X$2,DataReport!$F$3:$F$999,Charts!X28,DataReport!$S$3:$S$999,Charts!$Y$2)</f>
        <v>0</v>
      </c>
      <c r="Z28" s="21">
        <f>COUNTIFS(DataReport!$D$3:$D$999,Charts!$X$2,DataReport!$F$3:$F$999,Charts!X28,DataReport!$S$3:$S$999,Charts!$Z$2)</f>
        <v>0</v>
      </c>
      <c r="AB28" s="75">
        <v>44830</v>
      </c>
      <c r="AC28" s="21">
        <f>COUNTIFS(DataReport!$D$3:$D$999,Charts!$AB$2,DataReport!$F$3:$F$999,Charts!AB28,DataReport!$S$3:$S$999,Charts!$AC$2)</f>
        <v>0</v>
      </c>
      <c r="AD28" s="21">
        <f>COUNTIFS(DataReport!$D$3:$D$999,Charts!$AB$2,DataReport!$F$3:$F$999,Charts!AB28,DataReport!$S$3:$S$999,Charts!$AD$2)</f>
        <v>0</v>
      </c>
      <c r="AF28" s="75">
        <v>44830</v>
      </c>
      <c r="AG28" s="21">
        <f>COUNTIFS(DataReport!$D$3:$D$999,Charts!$AF$2,DataReport!$F$3:$F$999,Charts!AF28,DataReport!$S$3:$S$999,Charts!$AG$2)</f>
        <v>0</v>
      </c>
      <c r="AH28" s="21">
        <f>COUNTIFS(DataReport!$D$3:$D$999,Charts!$AF$2,DataReport!$F$3:$F$999,Charts!AF28,DataReport!$S$3:$S$999,Charts!$AH$2)</f>
        <v>0</v>
      </c>
      <c r="AJ28" s="75">
        <v>44830</v>
      </c>
      <c r="AK28" s="21">
        <f>COUNTIFS(DataReport!$D$3:$D$999,Charts!$AJ$2,DataReport!$F$3:$F$999,Charts!AJ28,DataReport!$S$3:$S$999,Charts!$AK$2)</f>
        <v>0</v>
      </c>
      <c r="AL28" s="21">
        <f>COUNTIFS(DataReport!$D$3:$D$999,Charts!$AJ$2,DataReport!$F$3:$F$999,Charts!AJ28,DataReport!$S$3:$S$999,Charts!$AL$2)</f>
        <v>0</v>
      </c>
      <c r="AN28" s="75">
        <v>44830</v>
      </c>
      <c r="AO28" s="21">
        <f>COUNTIFS(DataReport!$D$3:$D$999,Charts!$AN$2,DataReport!$F$3:$F$999,Charts!AN28,DataReport!$S$3:$S$999,Charts!$AO$2)</f>
        <v>0</v>
      </c>
      <c r="AP28" s="21">
        <f>COUNTIFS(DataReport!$D$3:$D$999,Charts!$AN$2,DataReport!$F$3:$F$999,Charts!AN28,DataReport!$S$3:$S$999,Charts!$AP$2)</f>
        <v>0</v>
      </c>
    </row>
    <row r="29" spans="1:42" x14ac:dyDescent="0.25">
      <c r="A29" s="75">
        <v>44831</v>
      </c>
      <c r="B29" s="21">
        <v>27</v>
      </c>
      <c r="C29" s="21">
        <f>COUNTIF(DataReport!$A$2:$AT$999,Charts!A29)</f>
        <v>0</v>
      </c>
      <c r="R29" s="78"/>
      <c r="X29" s="75">
        <v>44831</v>
      </c>
      <c r="Y29" s="21">
        <f>COUNTIFS(DataReport!$D$3:$D$999,Charts!$X$2,DataReport!$F$3:$F$999,Charts!X29,DataReport!$S$3:$S$999,Charts!$Y$2)</f>
        <v>0</v>
      </c>
      <c r="Z29" s="21">
        <f>COUNTIFS(DataReport!$D$3:$D$999,Charts!$X$2,DataReport!$F$3:$F$999,Charts!X29,DataReport!$S$3:$S$999,Charts!$Z$2)</f>
        <v>0</v>
      </c>
      <c r="AB29" s="75">
        <v>44831</v>
      </c>
      <c r="AC29" s="21">
        <f>COUNTIFS(DataReport!$D$3:$D$999,Charts!$AB$2,DataReport!$F$3:$F$999,Charts!AB29,DataReport!$S$3:$S$999,Charts!$AC$2)</f>
        <v>0</v>
      </c>
      <c r="AD29" s="21">
        <f>COUNTIFS(DataReport!$D$3:$D$999,Charts!$AB$2,DataReport!$F$3:$F$999,Charts!AB29,DataReport!$S$3:$S$999,Charts!$AD$2)</f>
        <v>0</v>
      </c>
      <c r="AF29" s="75">
        <v>44831</v>
      </c>
      <c r="AG29" s="21">
        <f>COUNTIFS(DataReport!$D$3:$D$999,Charts!$AF$2,DataReport!$F$3:$F$999,Charts!AF29,DataReport!$S$3:$S$999,Charts!$AG$2)</f>
        <v>0</v>
      </c>
      <c r="AH29" s="21">
        <f>COUNTIFS(DataReport!$D$3:$D$999,Charts!$AF$2,DataReport!$F$3:$F$999,Charts!AF29,DataReport!$S$3:$S$999,Charts!$AH$2)</f>
        <v>0</v>
      </c>
      <c r="AJ29" s="75">
        <v>44831</v>
      </c>
      <c r="AK29" s="21">
        <f>COUNTIFS(DataReport!$D$3:$D$999,Charts!$AJ$2,DataReport!$F$3:$F$999,Charts!AJ29,DataReport!$S$3:$S$999,Charts!$AK$2)</f>
        <v>0</v>
      </c>
      <c r="AL29" s="21">
        <f>COUNTIFS(DataReport!$D$3:$D$999,Charts!$AJ$2,DataReport!$F$3:$F$999,Charts!AJ29,DataReport!$S$3:$S$999,Charts!$AL$2)</f>
        <v>0</v>
      </c>
      <c r="AN29" s="75">
        <v>44831</v>
      </c>
      <c r="AO29" s="21">
        <f>COUNTIFS(DataReport!$D$3:$D$999,Charts!$AN$2,DataReport!$F$3:$F$999,Charts!AN29,DataReport!$S$3:$S$999,Charts!$AO$2)</f>
        <v>0</v>
      </c>
      <c r="AP29" s="21">
        <f>COUNTIFS(DataReport!$D$3:$D$999,Charts!$AN$2,DataReport!$F$3:$F$999,Charts!AN29,DataReport!$S$3:$S$999,Charts!$AP$2)</f>
        <v>0</v>
      </c>
    </row>
    <row r="30" spans="1:42" x14ac:dyDescent="0.25">
      <c r="A30" s="75">
        <v>44832</v>
      </c>
      <c r="B30" s="21">
        <v>28</v>
      </c>
      <c r="C30" s="21">
        <f>COUNTIF(DataReport!$A$2:$AT$999,Charts!A30)</f>
        <v>0</v>
      </c>
      <c r="R30" s="78"/>
      <c r="X30" s="75">
        <v>44832</v>
      </c>
      <c r="Y30" s="21">
        <f>COUNTIFS(DataReport!$D$3:$D$999,Charts!$X$2,DataReport!$F$3:$F$999,Charts!X30,DataReport!$S$3:$S$999,Charts!$Y$2)</f>
        <v>0</v>
      </c>
      <c r="Z30" s="21">
        <f>COUNTIFS(DataReport!$D$3:$D$999,Charts!$X$2,DataReport!$F$3:$F$999,Charts!X30,DataReport!$S$3:$S$999,Charts!$Z$2)</f>
        <v>0</v>
      </c>
      <c r="AB30" s="75">
        <v>44832</v>
      </c>
      <c r="AC30" s="21">
        <f>COUNTIFS(DataReport!$D$3:$D$999,Charts!$AB$2,DataReport!$F$3:$F$999,Charts!AB30,DataReport!$S$3:$S$999,Charts!$AC$2)</f>
        <v>0</v>
      </c>
      <c r="AD30" s="21">
        <f>COUNTIFS(DataReport!$D$3:$D$999,Charts!$AB$2,DataReport!$F$3:$F$999,Charts!AB30,DataReport!$S$3:$S$999,Charts!$AD$2)</f>
        <v>0</v>
      </c>
      <c r="AF30" s="75">
        <v>44832</v>
      </c>
      <c r="AG30" s="21">
        <f>COUNTIFS(DataReport!$D$3:$D$999,Charts!$AF$2,DataReport!$F$3:$F$999,Charts!AF30,DataReport!$S$3:$S$999,Charts!$AG$2)</f>
        <v>0</v>
      </c>
      <c r="AH30" s="21">
        <f>COUNTIFS(DataReport!$D$3:$D$999,Charts!$AF$2,DataReport!$F$3:$F$999,Charts!AF30,DataReport!$S$3:$S$999,Charts!$AH$2)</f>
        <v>0</v>
      </c>
      <c r="AJ30" s="75">
        <v>44832</v>
      </c>
      <c r="AK30" s="21">
        <f>COUNTIFS(DataReport!$D$3:$D$999,Charts!$AJ$2,DataReport!$F$3:$F$999,Charts!AJ30,DataReport!$S$3:$S$999,Charts!$AK$2)</f>
        <v>0</v>
      </c>
      <c r="AL30" s="21">
        <f>COUNTIFS(DataReport!$D$3:$D$999,Charts!$AJ$2,DataReport!$F$3:$F$999,Charts!AJ30,DataReport!$S$3:$S$999,Charts!$AL$2)</f>
        <v>0</v>
      </c>
      <c r="AN30" s="75">
        <v>44832</v>
      </c>
      <c r="AO30" s="21">
        <f>COUNTIFS(DataReport!$D$3:$D$999,Charts!$AN$2,DataReport!$F$3:$F$999,Charts!AN30,DataReport!$S$3:$S$999,Charts!$AO$2)</f>
        <v>0</v>
      </c>
      <c r="AP30" s="21">
        <f>COUNTIFS(DataReport!$D$3:$D$999,Charts!$AN$2,DataReport!$F$3:$F$999,Charts!AN30,DataReport!$S$3:$S$999,Charts!$AP$2)</f>
        <v>0</v>
      </c>
    </row>
    <row r="31" spans="1:42" x14ac:dyDescent="0.25">
      <c r="A31" s="75">
        <v>44833</v>
      </c>
      <c r="B31" s="21">
        <v>29</v>
      </c>
      <c r="C31" s="21">
        <f>COUNTIF(DataReport!$A$2:$AT$999,Charts!A31)</f>
        <v>0</v>
      </c>
      <c r="R31" s="78"/>
      <c r="X31" s="75">
        <v>44833</v>
      </c>
      <c r="Y31" s="21">
        <f>COUNTIFS(DataReport!$D$3:$D$999,Charts!$X$2,DataReport!$F$3:$F$999,Charts!X31,DataReport!$S$3:$S$999,Charts!$Y$2)</f>
        <v>0</v>
      </c>
      <c r="Z31" s="21">
        <f>COUNTIFS(DataReport!$D$3:$D$999,Charts!$X$2,DataReport!$F$3:$F$999,Charts!X31,DataReport!$S$3:$S$999,Charts!$Z$2)</f>
        <v>0</v>
      </c>
      <c r="AB31" s="75">
        <v>44833</v>
      </c>
      <c r="AC31" s="21">
        <f>COUNTIFS(DataReport!$D$3:$D$999,Charts!$AB$2,DataReport!$F$3:$F$999,Charts!AB31,DataReport!$S$3:$S$999,Charts!$AC$2)</f>
        <v>0</v>
      </c>
      <c r="AD31" s="21">
        <f>COUNTIFS(DataReport!$D$3:$D$999,Charts!$AB$2,DataReport!$F$3:$F$999,Charts!AB31,DataReport!$S$3:$S$999,Charts!$AD$2)</f>
        <v>0</v>
      </c>
      <c r="AF31" s="75">
        <v>44833</v>
      </c>
      <c r="AG31" s="21">
        <f>COUNTIFS(DataReport!$D$3:$D$999,Charts!$AF$2,DataReport!$F$3:$F$999,Charts!AF31,DataReport!$S$3:$S$999,Charts!$AG$2)</f>
        <v>0</v>
      </c>
      <c r="AH31" s="21">
        <f>COUNTIFS(DataReport!$D$3:$D$999,Charts!$AF$2,DataReport!$F$3:$F$999,Charts!AF31,DataReport!$S$3:$S$999,Charts!$AH$2)</f>
        <v>0</v>
      </c>
      <c r="AJ31" s="75">
        <v>44833</v>
      </c>
      <c r="AK31" s="21">
        <f>COUNTIFS(DataReport!$D$3:$D$999,Charts!$AJ$2,DataReport!$F$3:$F$999,Charts!AJ31,DataReport!$S$3:$S$999,Charts!$AK$2)</f>
        <v>0</v>
      </c>
      <c r="AL31" s="21">
        <f>COUNTIFS(DataReport!$D$3:$D$999,Charts!$AJ$2,DataReport!$F$3:$F$999,Charts!AJ31,DataReport!$S$3:$S$999,Charts!$AL$2)</f>
        <v>0</v>
      </c>
      <c r="AN31" s="75">
        <v>44833</v>
      </c>
      <c r="AO31" s="21">
        <f>COUNTIFS(DataReport!$D$3:$D$999,Charts!$AN$2,DataReport!$F$3:$F$999,Charts!AN31,DataReport!$S$3:$S$999,Charts!$AO$2)</f>
        <v>0</v>
      </c>
      <c r="AP31" s="21">
        <f>COUNTIFS(DataReport!$D$3:$D$999,Charts!$AN$2,DataReport!$F$3:$F$999,Charts!AN31,DataReport!$S$3:$S$999,Charts!$AP$2)</f>
        <v>0</v>
      </c>
    </row>
    <row r="32" spans="1:42" x14ac:dyDescent="0.25">
      <c r="A32" s="75">
        <v>44834</v>
      </c>
      <c r="B32" s="21">
        <v>30</v>
      </c>
      <c r="C32" s="21">
        <f>COUNTIF(DataReport!$A$2:$AT$999,Charts!A32)</f>
        <v>0</v>
      </c>
      <c r="R32" s="78"/>
      <c r="X32" s="75">
        <v>44834</v>
      </c>
      <c r="Y32" s="21">
        <f>COUNTIFS(DataReport!$D$3:$D$999,Charts!$X$2,DataReport!$F$3:$F$999,Charts!X32,DataReport!$S$3:$S$999,Charts!$Y$2)</f>
        <v>0</v>
      </c>
      <c r="Z32" s="21">
        <f>COUNTIFS(DataReport!$D$3:$D$999,Charts!$X$2,DataReport!$F$3:$F$999,Charts!X32,DataReport!$S$3:$S$999,Charts!$Z$2)</f>
        <v>0</v>
      </c>
      <c r="AB32" s="75">
        <v>44834</v>
      </c>
      <c r="AC32" s="21">
        <f>COUNTIFS(DataReport!$D$3:$D$999,Charts!$AB$2,DataReport!$F$3:$F$999,Charts!AB32,DataReport!$S$3:$S$999,Charts!$AC$2)</f>
        <v>0</v>
      </c>
      <c r="AD32" s="21">
        <f>COUNTIFS(DataReport!$D$3:$D$999,Charts!$AB$2,DataReport!$F$3:$F$999,Charts!AB32,DataReport!$S$3:$S$999,Charts!$AD$2)</f>
        <v>0</v>
      </c>
      <c r="AF32" s="75">
        <v>44834</v>
      </c>
      <c r="AG32" s="21">
        <f>COUNTIFS(DataReport!$D$3:$D$999,Charts!$AF$2,DataReport!$F$3:$F$999,Charts!AF32,DataReport!$S$3:$S$999,Charts!$AG$2)</f>
        <v>0</v>
      </c>
      <c r="AH32" s="21">
        <f>COUNTIFS(DataReport!$D$3:$D$999,Charts!$AF$2,DataReport!$F$3:$F$999,Charts!AF32,DataReport!$S$3:$S$999,Charts!$AH$2)</f>
        <v>0</v>
      </c>
      <c r="AJ32" s="75">
        <v>44834</v>
      </c>
      <c r="AK32" s="21">
        <f>COUNTIFS(DataReport!$D$3:$D$999,Charts!$AJ$2,DataReport!$F$3:$F$999,Charts!AJ32,DataReport!$S$3:$S$999,Charts!$AK$2)</f>
        <v>0</v>
      </c>
      <c r="AL32" s="21">
        <f>COUNTIFS(DataReport!$D$3:$D$999,Charts!$AJ$2,DataReport!$F$3:$F$999,Charts!AJ32,DataReport!$S$3:$S$999,Charts!$AL$2)</f>
        <v>0</v>
      </c>
      <c r="AN32" s="75">
        <v>44834</v>
      </c>
      <c r="AO32" s="21">
        <f>COUNTIFS(DataReport!$D$3:$D$999,Charts!$AN$2,DataReport!$F$3:$F$999,Charts!AN32,DataReport!$S$3:$S$999,Charts!$AO$2)</f>
        <v>0</v>
      </c>
      <c r="AP32" s="21">
        <f>COUNTIFS(DataReport!$D$3:$D$999,Charts!$AN$2,DataReport!$F$3:$F$999,Charts!AN32,DataReport!$S$3:$S$999,Charts!$AP$2)</f>
        <v>0</v>
      </c>
    </row>
    <row r="33" spans="1:42" x14ac:dyDescent="0.25">
      <c r="A33" s="75"/>
      <c r="B33" s="21">
        <v>31</v>
      </c>
      <c r="C33" s="21">
        <f>COUNTIF(DataReport!$A$2:$AT$999,Charts!A33)</f>
        <v>0</v>
      </c>
      <c r="R33" s="78"/>
      <c r="X33" s="75"/>
      <c r="Y33" s="21">
        <f>COUNTIFS(DataReport!$D$3:$D$999,Charts!$X$2,DataReport!$F$3:$F$999,Charts!X33,DataReport!$S$3:$S$999,Charts!$Y$2)</f>
        <v>0</v>
      </c>
      <c r="Z33" s="21">
        <f>COUNTIFS(DataReport!$D$3:$D$999,Charts!$X$2,DataReport!$F$3:$F$999,Charts!X33,DataReport!$S$3:$S$999,Charts!$Z$2)</f>
        <v>0</v>
      </c>
      <c r="AB33" s="75"/>
      <c r="AC33" s="21">
        <f>COUNTIFS(DataReport!$D$3:$D$999,Charts!$AB$2,DataReport!$F$3:$F$999,Charts!AB33,DataReport!$S$3:$S$999,Charts!$AC$2)</f>
        <v>0</v>
      </c>
      <c r="AD33" s="21">
        <f>COUNTIFS(DataReport!$D$3:$D$999,Charts!$AB$2,DataReport!$F$3:$F$999,Charts!AB33,DataReport!$S$3:$S$999,Charts!$AD$2)</f>
        <v>0</v>
      </c>
      <c r="AF33" s="75"/>
      <c r="AG33" s="21">
        <f>COUNTIFS(DataReport!$D$3:$D$999,Charts!$AF$2,DataReport!$F$3:$F$999,Charts!AF33,DataReport!$S$3:$S$999,Charts!$AG$2)</f>
        <v>0</v>
      </c>
      <c r="AH33" s="21">
        <f>COUNTIFS(DataReport!$D$3:$D$999,Charts!$AF$2,DataReport!$F$3:$F$999,Charts!AF33,DataReport!$S$3:$S$999,Charts!$AH$2)</f>
        <v>0</v>
      </c>
      <c r="AJ33" s="75"/>
      <c r="AK33" s="21">
        <f>COUNTIFS(DataReport!$D$3:$D$999,Charts!$AJ$2,DataReport!$F$3:$F$999,Charts!AJ33,DataReport!$S$3:$S$999,Charts!$AK$2)</f>
        <v>0</v>
      </c>
      <c r="AL33" s="21">
        <f>COUNTIFS(DataReport!$D$3:$D$999,Charts!$AJ$2,DataReport!$F$3:$F$999,Charts!AJ33,DataReport!$S$3:$S$999,Charts!$AL$2)</f>
        <v>0</v>
      </c>
      <c r="AN33" s="75"/>
      <c r="AO33" s="21">
        <f>COUNTIFS(DataReport!$D$3:$D$999,Charts!$AN$2,DataReport!$F$3:$F$999,Charts!AN33,DataReport!$S$3:$S$999,Charts!$AO$2)</f>
        <v>0</v>
      </c>
      <c r="AP33" s="21">
        <f>COUNTIFS(DataReport!$D$3:$D$999,Charts!$AN$2,DataReport!$F$3:$F$999,Charts!AN33,DataReport!$S$3:$S$999,Charts!$AP$2)</f>
        <v>0</v>
      </c>
    </row>
    <row r="35" spans="1:42" x14ac:dyDescent="0.25">
      <c r="AA35" s="67"/>
    </row>
    <row r="40" spans="1:42" x14ac:dyDescent="0.25">
      <c r="A40" s="66"/>
    </row>
    <row r="41" spans="1:42" x14ac:dyDescent="0.25">
      <c r="A41" s="66"/>
    </row>
    <row r="42" spans="1:42" x14ac:dyDescent="0.25">
      <c r="A42" s="66"/>
    </row>
    <row r="43" spans="1:42" x14ac:dyDescent="0.25">
      <c r="A43" s="66"/>
    </row>
    <row r="44" spans="1:42" x14ac:dyDescent="0.25">
      <c r="A44" s="66"/>
    </row>
    <row r="45" spans="1:42" x14ac:dyDescent="0.25">
      <c r="A45" s="66"/>
    </row>
    <row r="46" spans="1:42" x14ac:dyDescent="0.25">
      <c r="A46" s="66"/>
    </row>
    <row r="47" spans="1:42" x14ac:dyDescent="0.25">
      <c r="A47" s="66"/>
    </row>
    <row r="48" spans="1:42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mandButton1">
          <controlPr defaultSize="0" autoLine="0" r:id="rId5">
            <anchor moveWithCells="1">
              <from>
                <xdr:col>10</xdr:col>
                <xdr:colOff>361950</xdr:colOff>
                <xdr:row>14</xdr:row>
                <xdr:rowOff>152400</xdr:rowOff>
              </from>
              <to>
                <xdr:col>10</xdr:col>
                <xdr:colOff>781050</xdr:colOff>
                <xdr:row>16</xdr:row>
                <xdr:rowOff>57150</xdr:rowOff>
              </to>
            </anchor>
          </controlPr>
        </control>
      </mc:Choice>
      <mc:Fallback>
        <control shapeId="6147" r:id="rId4" name="CommandButton1"/>
      </mc:Fallback>
    </mc:AlternateContent>
    <mc:AlternateContent xmlns:mc="http://schemas.openxmlformats.org/markup-compatibility/2006">
      <mc:Choice Requires="x14">
        <control shapeId="6145" r:id="rId6" name="ComboBox1">
          <controlPr defaultSize="0" autoLine="0" listFillRange="bulan" r:id="rId7">
            <anchor moveWithCells="1">
              <from>
                <xdr:col>9</xdr:col>
                <xdr:colOff>19050</xdr:colOff>
                <xdr:row>15</xdr:row>
                <xdr:rowOff>0</xdr:rowOff>
              </from>
              <to>
                <xdr:col>10</xdr:col>
                <xdr:colOff>323850</xdr:colOff>
                <xdr:row>16</xdr:row>
                <xdr:rowOff>38100</xdr:rowOff>
              </to>
            </anchor>
          </controlPr>
        </control>
      </mc:Choice>
      <mc:Fallback>
        <control shapeId="6145" r:id="rId6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2EDB9-50BE-4F63-B346-8830F26EF7DA}">
  <sheetPr codeName="Sheet6"/>
  <dimension ref="A1:K34"/>
  <sheetViews>
    <sheetView zoomScaleNormal="100" workbookViewId="0">
      <selection activeCell="G34" sqref="G34"/>
    </sheetView>
  </sheetViews>
  <sheetFormatPr defaultRowHeight="15" x14ac:dyDescent="0.25"/>
  <cols>
    <col min="1" max="1" width="6.7109375" customWidth="1"/>
    <col min="2" max="7" width="15.7109375" customWidth="1"/>
    <col min="11" max="11" width="14.85546875" bestFit="1" customWidth="1"/>
  </cols>
  <sheetData>
    <row r="1" spans="1:11" ht="30.75" customHeight="1" x14ac:dyDescent="0.25">
      <c r="A1" s="57" t="s">
        <v>151</v>
      </c>
      <c r="B1" s="57" t="s">
        <v>153</v>
      </c>
      <c r="C1" s="58" t="s">
        <v>152</v>
      </c>
      <c r="D1" s="57" t="s">
        <v>145</v>
      </c>
      <c r="E1" s="57" t="s">
        <v>148</v>
      </c>
      <c r="F1" s="57" t="s">
        <v>273</v>
      </c>
      <c r="G1" s="57" t="s">
        <v>162</v>
      </c>
    </row>
    <row r="2" spans="1:11" x14ac:dyDescent="0.25">
      <c r="C2" s="11"/>
    </row>
    <row r="3" spans="1:11" x14ac:dyDescent="0.25">
      <c r="C3" s="11"/>
    </row>
    <row r="4" spans="1:11" x14ac:dyDescent="0.25">
      <c r="C4" s="11"/>
    </row>
    <row r="5" spans="1:11" x14ac:dyDescent="0.25">
      <c r="C5" s="11"/>
    </row>
    <row r="6" spans="1:11" x14ac:dyDescent="0.25">
      <c r="C6" s="11"/>
    </row>
    <row r="7" spans="1:11" x14ac:dyDescent="0.25">
      <c r="C7" s="11"/>
    </row>
    <row r="8" spans="1:11" x14ac:dyDescent="0.25">
      <c r="C8" s="11"/>
    </row>
    <row r="9" spans="1:11" x14ac:dyDescent="0.25">
      <c r="C9" s="11"/>
    </row>
    <row r="10" spans="1:11" x14ac:dyDescent="0.25">
      <c r="C10" s="11"/>
      <c r="K10" s="59"/>
    </row>
    <row r="11" spans="1:11" x14ac:dyDescent="0.25">
      <c r="C11" s="11"/>
    </row>
    <row r="12" spans="1:11" x14ac:dyDescent="0.25">
      <c r="C12" s="11"/>
      <c r="K12" s="19"/>
    </row>
    <row r="13" spans="1:11" x14ac:dyDescent="0.25">
      <c r="C13" s="11"/>
      <c r="K13" s="60"/>
    </row>
    <row r="14" spans="1:11" x14ac:dyDescent="0.25">
      <c r="C14" s="11"/>
    </row>
    <row r="15" spans="1:11" x14ac:dyDescent="0.25">
      <c r="C15" s="11"/>
    </row>
    <row r="16" spans="1:11" x14ac:dyDescent="0.25">
      <c r="C16" s="11"/>
    </row>
    <row r="17" spans="3:9" x14ac:dyDescent="0.25">
      <c r="C17" s="11"/>
      <c r="I17" s="60"/>
    </row>
    <row r="18" spans="3:9" x14ac:dyDescent="0.25">
      <c r="C18" s="10"/>
    </row>
    <row r="19" spans="3:9" x14ac:dyDescent="0.25">
      <c r="C19" s="11"/>
    </row>
    <row r="20" spans="3:9" x14ac:dyDescent="0.25">
      <c r="C20" s="10"/>
    </row>
    <row r="21" spans="3:9" x14ac:dyDescent="0.25">
      <c r="C21" s="10"/>
    </row>
    <row r="22" spans="3:9" x14ac:dyDescent="0.25">
      <c r="C22" s="10"/>
    </row>
    <row r="23" spans="3:9" x14ac:dyDescent="0.25">
      <c r="C23" s="11"/>
    </row>
    <row r="24" spans="3:9" x14ac:dyDescent="0.25">
      <c r="C24" s="11"/>
    </row>
    <row r="25" spans="3:9" x14ac:dyDescent="0.25">
      <c r="C25" s="11"/>
    </row>
    <row r="26" spans="3:9" x14ac:dyDescent="0.25">
      <c r="C26" s="10"/>
    </row>
    <row r="27" spans="3:9" x14ac:dyDescent="0.25">
      <c r="C27" s="10"/>
    </row>
    <row r="28" spans="3:9" x14ac:dyDescent="0.25">
      <c r="C28" s="11"/>
    </row>
    <row r="29" spans="3:9" x14ac:dyDescent="0.25">
      <c r="C29" s="11"/>
    </row>
    <row r="30" spans="3:9" x14ac:dyDescent="0.25">
      <c r="C30" s="10"/>
    </row>
    <row r="31" spans="3:9" x14ac:dyDescent="0.25">
      <c r="C31" s="10"/>
    </row>
    <row r="32" spans="3:9" x14ac:dyDescent="0.25">
      <c r="C32" s="10"/>
    </row>
    <row r="33" spans="3:3" x14ac:dyDescent="0.25">
      <c r="C33" s="10"/>
    </row>
    <row r="34" spans="3:3" x14ac:dyDescent="0.25">
      <c r="C34" s="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ommandButton1">
          <controlPr defaultSize="0" autoLine="0" autoPict="0" r:id="rId5">
            <anchor moveWithCells="1">
              <from>
                <xdr:col>7</xdr:col>
                <xdr:colOff>600075</xdr:colOff>
                <xdr:row>0</xdr:row>
                <xdr:rowOff>381000</xdr:rowOff>
              </from>
              <to>
                <xdr:col>10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9218" r:id="rId4" name="CommandButton1"/>
      </mc:Fallback>
    </mc:AlternateContent>
    <mc:AlternateContent xmlns:mc="http://schemas.openxmlformats.org/markup-compatibility/2006">
      <mc:Choice Requires="x14">
        <control shapeId="9219" r:id="rId6" name="CommandButton2">
          <controlPr defaultSize="0" autoLine="0" autoPict="0" r:id="rId7">
            <anchor moveWithCells="1">
              <from>
                <xdr:col>7</xdr:col>
                <xdr:colOff>600075</xdr:colOff>
                <xdr:row>5</xdr:row>
                <xdr:rowOff>9525</xdr:rowOff>
              </from>
              <to>
                <xdr:col>10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9219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9CC5-4C89-4AC9-B599-D098965D3A5B}">
  <sheetPr codeName="Sheet3"/>
  <dimension ref="A1:AG46"/>
  <sheetViews>
    <sheetView zoomScale="55" zoomScaleNormal="55" workbookViewId="0">
      <selection activeCell="S57" sqref="S57"/>
    </sheetView>
  </sheetViews>
  <sheetFormatPr defaultRowHeight="15" x14ac:dyDescent="0.25"/>
  <cols>
    <col min="1" max="4" width="9.140625" customWidth="1"/>
    <col min="6" max="6" width="9.140625" customWidth="1"/>
    <col min="26" max="26" width="9.140625" style="47" customWidth="1"/>
  </cols>
  <sheetData>
    <row r="1" spans="1:33" x14ac:dyDescent="0.25">
      <c r="A1" s="99" t="s">
        <v>166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Q1" s="99" t="s">
        <v>211</v>
      </c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G1" s="52" t="s">
        <v>276</v>
      </c>
    </row>
    <row r="2" spans="1:33" x14ac:dyDescent="0.25">
      <c r="A2" s="100" t="s">
        <v>167</v>
      </c>
      <c r="B2" s="101"/>
      <c r="C2" s="102"/>
      <c r="D2" s="103" t="s">
        <v>168</v>
      </c>
      <c r="E2" s="104"/>
      <c r="F2" s="105"/>
      <c r="G2" s="106" t="s">
        <v>169</v>
      </c>
      <c r="H2" s="107"/>
      <c r="I2" s="108"/>
      <c r="J2" s="112" t="s">
        <v>171</v>
      </c>
      <c r="K2" s="113"/>
      <c r="L2" s="113"/>
      <c r="M2" s="109" t="s">
        <v>170</v>
      </c>
      <c r="N2" s="110"/>
      <c r="O2" s="111"/>
      <c r="Q2" s="100" t="s">
        <v>167</v>
      </c>
      <c r="R2" s="101"/>
      <c r="S2" s="102"/>
      <c r="T2" s="103" t="s">
        <v>168</v>
      </c>
      <c r="U2" s="104"/>
      <c r="V2" s="105"/>
      <c r="W2" s="106" t="s">
        <v>169</v>
      </c>
      <c r="X2" s="107"/>
      <c r="Y2" s="108"/>
      <c r="Z2" s="112" t="s">
        <v>171</v>
      </c>
      <c r="AA2" s="113"/>
      <c r="AB2" s="113"/>
      <c r="AC2" s="109" t="s">
        <v>170</v>
      </c>
      <c r="AD2" s="110"/>
      <c r="AE2" s="111"/>
      <c r="AG2" s="21" t="s">
        <v>275</v>
      </c>
    </row>
    <row r="3" spans="1:33" x14ac:dyDescent="0.25">
      <c r="A3" s="21" t="s">
        <v>172</v>
      </c>
      <c r="B3" s="21" t="s">
        <v>173</v>
      </c>
      <c r="C3" s="21" t="s">
        <v>187</v>
      </c>
      <c r="D3" s="21" t="s">
        <v>172</v>
      </c>
      <c r="E3" s="21" t="s">
        <v>173</v>
      </c>
      <c r="F3" s="21" t="s">
        <v>187</v>
      </c>
      <c r="G3" s="21" t="s">
        <v>172</v>
      </c>
      <c r="H3" s="21" t="s">
        <v>173</v>
      </c>
      <c r="I3" s="21" t="s">
        <v>187</v>
      </c>
      <c r="J3" s="21" t="s">
        <v>172</v>
      </c>
      <c r="K3" s="21" t="s">
        <v>173</v>
      </c>
      <c r="L3" s="21" t="s">
        <v>187</v>
      </c>
      <c r="M3" s="21" t="s">
        <v>172</v>
      </c>
      <c r="N3" s="21" t="s">
        <v>173</v>
      </c>
      <c r="O3" s="21" t="s">
        <v>187</v>
      </c>
      <c r="Q3" s="21" t="s">
        <v>172</v>
      </c>
      <c r="R3" s="21" t="s">
        <v>173</v>
      </c>
      <c r="S3" s="21" t="s">
        <v>187</v>
      </c>
      <c r="T3" s="21" t="s">
        <v>172</v>
      </c>
      <c r="U3" s="21" t="s">
        <v>173</v>
      </c>
      <c r="V3" s="21" t="s">
        <v>187</v>
      </c>
      <c r="W3" s="21" t="s">
        <v>172</v>
      </c>
      <c r="X3" s="21" t="s">
        <v>173</v>
      </c>
      <c r="Y3" s="21" t="s">
        <v>187</v>
      </c>
      <c r="Z3" s="30" t="s">
        <v>172</v>
      </c>
      <c r="AA3" s="21" t="s">
        <v>173</v>
      </c>
      <c r="AB3" s="21" t="s">
        <v>187</v>
      </c>
      <c r="AC3" s="21" t="s">
        <v>172</v>
      </c>
      <c r="AD3" s="21" t="s">
        <v>173</v>
      </c>
      <c r="AE3" s="21" t="s">
        <v>187</v>
      </c>
    </row>
    <row r="4" spans="1:33" ht="13.5" customHeight="1" x14ac:dyDescent="0.25">
      <c r="A4" s="34" t="s">
        <v>175</v>
      </c>
      <c r="B4" s="39" t="s">
        <v>176</v>
      </c>
      <c r="C4" s="26" t="s">
        <v>188</v>
      </c>
      <c r="D4" s="26" t="s">
        <v>181</v>
      </c>
      <c r="E4" s="39" t="s">
        <v>190</v>
      </c>
      <c r="F4" s="29" t="s">
        <v>199</v>
      </c>
      <c r="G4" s="39" t="s">
        <v>200</v>
      </c>
      <c r="H4" s="39" t="s">
        <v>202</v>
      </c>
      <c r="I4" s="26"/>
      <c r="J4" s="39" t="s">
        <v>203</v>
      </c>
      <c r="K4" s="40" t="s">
        <v>206</v>
      </c>
      <c r="L4" s="27"/>
      <c r="M4" s="42" t="s">
        <v>208</v>
      </c>
      <c r="N4" s="31" t="s">
        <v>285</v>
      </c>
      <c r="O4" s="27"/>
      <c r="Q4" s="34" t="s">
        <v>175</v>
      </c>
      <c r="R4" s="39" t="s">
        <v>213</v>
      </c>
      <c r="S4" s="26" t="s">
        <v>188</v>
      </c>
      <c r="T4" s="26" t="s">
        <v>215</v>
      </c>
      <c r="U4" s="39" t="s">
        <v>218</v>
      </c>
      <c r="V4" s="29" t="s">
        <v>229</v>
      </c>
      <c r="W4" s="39" t="s">
        <v>200</v>
      </c>
      <c r="X4" s="39" t="s">
        <v>202</v>
      </c>
      <c r="Y4" s="26"/>
      <c r="Z4" s="39" t="s">
        <v>203</v>
      </c>
      <c r="AA4" s="39" t="s">
        <v>235</v>
      </c>
      <c r="AB4" s="26"/>
      <c r="AC4" s="45" t="s">
        <v>208</v>
      </c>
      <c r="AD4" s="29" t="s">
        <v>210</v>
      </c>
      <c r="AE4" s="26"/>
    </row>
    <row r="5" spans="1:33" ht="15" customHeight="1" x14ac:dyDescent="0.25">
      <c r="A5" s="28" t="s">
        <v>174</v>
      </c>
      <c r="B5" s="40" t="s">
        <v>177</v>
      </c>
      <c r="C5" s="27" t="s">
        <v>189</v>
      </c>
      <c r="D5" s="27" t="s">
        <v>182</v>
      </c>
      <c r="E5" s="40" t="s">
        <v>191</v>
      </c>
      <c r="F5" s="27" t="s">
        <v>198</v>
      </c>
      <c r="G5" s="40" t="s">
        <v>201</v>
      </c>
      <c r="H5" s="27"/>
      <c r="I5" s="27"/>
      <c r="J5" s="40" t="s">
        <v>204</v>
      </c>
      <c r="K5" s="40" t="s">
        <v>207</v>
      </c>
      <c r="L5" s="27"/>
      <c r="M5" s="40" t="s">
        <v>209</v>
      </c>
      <c r="N5" s="27"/>
      <c r="O5" s="27"/>
      <c r="Q5" s="28" t="s">
        <v>212</v>
      </c>
      <c r="R5" s="40" t="s">
        <v>178</v>
      </c>
      <c r="S5" s="27" t="s">
        <v>189</v>
      </c>
      <c r="T5" s="27" t="s">
        <v>216</v>
      </c>
      <c r="U5" s="40" t="s">
        <v>219</v>
      </c>
      <c r="V5" s="40" t="s">
        <v>233</v>
      </c>
      <c r="W5" s="40" t="s">
        <v>201</v>
      </c>
      <c r="X5" s="27"/>
      <c r="Y5" s="27"/>
      <c r="Z5" s="48" t="s">
        <v>204</v>
      </c>
      <c r="AA5" s="40"/>
      <c r="AB5" s="27"/>
      <c r="AC5" s="40" t="s">
        <v>209</v>
      </c>
      <c r="AD5" s="27"/>
      <c r="AE5" s="27"/>
    </row>
    <row r="6" spans="1:33" ht="15" customHeight="1" x14ac:dyDescent="0.25">
      <c r="A6" s="28"/>
      <c r="B6" s="40" t="s">
        <v>178</v>
      </c>
      <c r="C6" s="27"/>
      <c r="D6" s="27" t="s">
        <v>183</v>
      </c>
      <c r="E6" s="40" t="s">
        <v>192</v>
      </c>
      <c r="F6" s="27"/>
      <c r="G6" s="27"/>
      <c r="H6" s="27"/>
      <c r="I6" s="27"/>
      <c r="J6" s="40" t="s">
        <v>205</v>
      </c>
      <c r="K6" s="27"/>
      <c r="L6" s="27"/>
      <c r="M6" s="27"/>
      <c r="N6" s="27"/>
      <c r="O6" s="27"/>
      <c r="Q6" s="28"/>
      <c r="R6" s="40" t="s">
        <v>214</v>
      </c>
      <c r="S6" s="27"/>
      <c r="T6" s="27" t="s">
        <v>217</v>
      </c>
      <c r="U6" s="40" t="s">
        <v>220</v>
      </c>
      <c r="V6" s="40" t="s">
        <v>232</v>
      </c>
      <c r="W6" s="27"/>
      <c r="X6" s="27"/>
      <c r="Y6" s="27"/>
      <c r="Z6" s="48" t="s">
        <v>234</v>
      </c>
      <c r="AA6" s="40"/>
      <c r="AB6" s="27"/>
      <c r="AC6" s="27"/>
      <c r="AD6" s="27"/>
      <c r="AE6" s="27"/>
    </row>
    <row r="7" spans="1:33" x14ac:dyDescent="0.25">
      <c r="A7" s="28"/>
      <c r="B7" s="40" t="s">
        <v>179</v>
      </c>
      <c r="C7" s="27"/>
      <c r="D7" s="27" t="s">
        <v>184</v>
      </c>
      <c r="E7" s="40" t="s">
        <v>197</v>
      </c>
      <c r="F7" s="27"/>
      <c r="G7" s="27"/>
      <c r="H7" s="27"/>
      <c r="I7" s="27"/>
      <c r="J7" s="27"/>
      <c r="K7" s="27"/>
      <c r="L7" s="27"/>
      <c r="M7" s="27"/>
      <c r="N7" s="27"/>
      <c r="O7" s="27"/>
      <c r="Q7" s="28"/>
      <c r="R7" s="40" t="s">
        <v>180</v>
      </c>
      <c r="S7" s="27"/>
      <c r="T7" s="27" t="s">
        <v>184</v>
      </c>
      <c r="U7" s="40" t="s">
        <v>221</v>
      </c>
      <c r="V7" s="40" t="s">
        <v>231</v>
      </c>
      <c r="W7" s="27"/>
      <c r="X7" s="27"/>
      <c r="Y7" s="27"/>
      <c r="Z7" s="40"/>
      <c r="AA7" s="27"/>
      <c r="AB7" s="27"/>
      <c r="AC7" s="27"/>
      <c r="AD7" s="27"/>
      <c r="AE7" s="27"/>
    </row>
    <row r="8" spans="1:33" x14ac:dyDescent="0.25">
      <c r="A8" s="28"/>
      <c r="B8" s="40" t="s">
        <v>180</v>
      </c>
      <c r="C8" s="27"/>
      <c r="D8" s="27" t="s">
        <v>185</v>
      </c>
      <c r="E8" s="40" t="s">
        <v>196</v>
      </c>
      <c r="F8" s="27"/>
      <c r="G8" s="27"/>
      <c r="H8" s="27"/>
      <c r="I8" s="27"/>
      <c r="J8" s="27"/>
      <c r="K8" s="27"/>
      <c r="L8" s="27"/>
      <c r="M8" s="27"/>
      <c r="N8" s="27"/>
      <c r="O8" s="27"/>
      <c r="Q8" s="28"/>
      <c r="R8" s="27"/>
      <c r="S8" s="27"/>
      <c r="T8" s="27" t="s">
        <v>185</v>
      </c>
      <c r="U8" s="40" t="s">
        <v>222</v>
      </c>
      <c r="V8" s="40" t="s">
        <v>230</v>
      </c>
      <c r="W8" s="27"/>
      <c r="X8" s="27"/>
      <c r="Y8" s="27"/>
      <c r="Z8" s="40"/>
      <c r="AA8" s="27"/>
      <c r="AB8" s="27"/>
      <c r="AC8" s="27"/>
      <c r="AD8" s="27"/>
      <c r="AE8" s="27"/>
    </row>
    <row r="9" spans="1:33" x14ac:dyDescent="0.25">
      <c r="A9" s="28"/>
      <c r="B9" s="40"/>
      <c r="C9" s="27"/>
      <c r="D9" s="27" t="s">
        <v>186</v>
      </c>
      <c r="E9" s="40" t="s">
        <v>195</v>
      </c>
      <c r="F9" s="27"/>
      <c r="G9" s="27"/>
      <c r="H9" s="27"/>
      <c r="I9" s="27"/>
      <c r="J9" s="27"/>
      <c r="K9" s="27"/>
      <c r="L9" s="27"/>
      <c r="M9" s="27"/>
      <c r="N9" s="27"/>
      <c r="O9" s="27"/>
      <c r="Q9" s="28"/>
      <c r="R9" s="27"/>
      <c r="S9" s="27"/>
      <c r="T9" s="27" t="s">
        <v>186</v>
      </c>
      <c r="U9" s="40" t="s">
        <v>223</v>
      </c>
      <c r="V9" s="27"/>
      <c r="W9" s="27"/>
      <c r="X9" s="27"/>
      <c r="Y9" s="27"/>
      <c r="Z9" s="40"/>
      <c r="AA9" s="27"/>
      <c r="AB9" s="27"/>
      <c r="AC9" s="27"/>
      <c r="AD9" s="27"/>
      <c r="AE9" s="27"/>
    </row>
    <row r="10" spans="1:33" x14ac:dyDescent="0.25">
      <c r="A10" s="28"/>
      <c r="B10" s="40"/>
      <c r="C10" s="27"/>
      <c r="D10" s="27"/>
      <c r="E10" s="40" t="s">
        <v>194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Q10" s="28"/>
      <c r="R10" s="27"/>
      <c r="S10" s="27"/>
      <c r="T10" s="27"/>
      <c r="U10" s="40" t="s">
        <v>224</v>
      </c>
      <c r="V10" s="27"/>
      <c r="W10" s="27"/>
      <c r="X10" s="27"/>
      <c r="Y10" s="27"/>
      <c r="Z10" s="40"/>
      <c r="AA10" s="27"/>
      <c r="AB10" s="27"/>
      <c r="AC10" s="27"/>
      <c r="AD10" s="27"/>
      <c r="AE10" s="27"/>
    </row>
    <row r="11" spans="1:33" x14ac:dyDescent="0.25">
      <c r="A11" s="28"/>
      <c r="B11" s="46"/>
      <c r="C11" s="28"/>
      <c r="D11" s="28"/>
      <c r="E11" s="46" t="s">
        <v>193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Q11" s="28"/>
      <c r="R11" s="27"/>
      <c r="S11" s="27"/>
      <c r="T11" s="27"/>
      <c r="U11" s="43" t="s">
        <v>225</v>
      </c>
      <c r="V11" s="27"/>
      <c r="W11" s="27"/>
      <c r="X11" s="27"/>
      <c r="Y11" s="27"/>
      <c r="Z11" s="40"/>
      <c r="AA11" s="27"/>
      <c r="AB11" s="27"/>
      <c r="AC11" s="27"/>
      <c r="AD11" s="27"/>
      <c r="AE11" s="27"/>
    </row>
    <row r="12" spans="1:33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Q12" s="28"/>
      <c r="R12" s="27"/>
      <c r="S12" s="27"/>
      <c r="T12" s="27"/>
      <c r="U12" s="43" t="s">
        <v>226</v>
      </c>
      <c r="V12" s="27"/>
      <c r="W12" s="27"/>
      <c r="X12" s="27"/>
      <c r="Y12" s="27"/>
      <c r="Z12" s="40"/>
      <c r="AA12" s="27"/>
      <c r="AB12" s="27"/>
      <c r="AC12" s="27"/>
      <c r="AD12" s="27"/>
      <c r="AE12" s="27"/>
    </row>
    <row r="13" spans="1:33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Q13" s="28"/>
      <c r="R13" s="27"/>
      <c r="S13" s="27"/>
      <c r="T13" s="27"/>
      <c r="U13" s="43" t="s">
        <v>227</v>
      </c>
      <c r="V13" s="27"/>
      <c r="W13" s="27"/>
      <c r="X13" s="27"/>
      <c r="Y13" s="27"/>
      <c r="Z13" s="40"/>
      <c r="AA13" s="27"/>
      <c r="AB13" s="27"/>
      <c r="AC13" s="27"/>
      <c r="AD13" s="27"/>
      <c r="AE13" s="27"/>
    </row>
    <row r="14" spans="1:33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Q14" s="28"/>
      <c r="R14" s="27"/>
      <c r="S14" s="27"/>
      <c r="T14" s="27"/>
      <c r="U14" s="43" t="s">
        <v>228</v>
      </c>
      <c r="V14" s="27"/>
      <c r="W14" s="27"/>
      <c r="X14" s="27"/>
      <c r="Y14" s="27"/>
      <c r="Z14" s="40"/>
      <c r="AA14" s="27"/>
      <c r="AB14" s="27"/>
      <c r="AC14" s="27"/>
      <c r="AD14" s="27"/>
      <c r="AE14" s="27"/>
    </row>
    <row r="15" spans="1:33" ht="12.75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Q15" s="28"/>
      <c r="R15" s="27"/>
      <c r="S15" s="27"/>
      <c r="T15" s="27"/>
      <c r="U15" s="40" t="s">
        <v>274</v>
      </c>
      <c r="V15" s="27"/>
      <c r="W15" s="27"/>
      <c r="X15" s="27"/>
      <c r="Y15" s="27"/>
      <c r="Z15" s="40"/>
      <c r="AA15" s="27"/>
      <c r="AB15" s="27"/>
      <c r="AC15" s="27"/>
      <c r="AD15" s="27"/>
      <c r="AE15" s="27"/>
    </row>
    <row r="16" spans="1:33" x14ac:dyDescent="0.25">
      <c r="A16" s="33"/>
      <c r="B16" s="33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Q16" s="32"/>
      <c r="R16" s="33"/>
      <c r="S16" s="33"/>
      <c r="T16" s="33"/>
      <c r="U16" s="44" t="s">
        <v>272</v>
      </c>
      <c r="V16" s="33"/>
      <c r="W16" s="33"/>
      <c r="X16" s="33"/>
      <c r="Y16" s="33"/>
      <c r="Z16" s="41"/>
      <c r="AA16" s="33"/>
      <c r="AB16" s="33"/>
      <c r="AC16" s="33"/>
      <c r="AD16" s="33"/>
      <c r="AE16" s="33"/>
    </row>
    <row r="19" spans="1:31" x14ac:dyDescent="0.25">
      <c r="A19" s="99" t="s">
        <v>236</v>
      </c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Q19" s="99" t="s">
        <v>288</v>
      </c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</row>
    <row r="20" spans="1:31" x14ac:dyDescent="0.25">
      <c r="A20" s="100" t="s">
        <v>167</v>
      </c>
      <c r="B20" s="101"/>
      <c r="C20" s="102"/>
      <c r="D20" s="103" t="s">
        <v>168</v>
      </c>
      <c r="E20" s="104"/>
      <c r="F20" s="105"/>
      <c r="G20" s="106" t="s">
        <v>169</v>
      </c>
      <c r="H20" s="107"/>
      <c r="I20" s="108"/>
      <c r="J20" s="112" t="s">
        <v>171</v>
      </c>
      <c r="K20" s="113"/>
      <c r="L20" s="113"/>
      <c r="M20" s="109" t="s">
        <v>170</v>
      </c>
      <c r="N20" s="110"/>
      <c r="O20" s="111"/>
      <c r="Q20" s="100" t="s">
        <v>167</v>
      </c>
      <c r="R20" s="101"/>
      <c r="S20" s="102"/>
      <c r="T20" s="103" t="s">
        <v>168</v>
      </c>
      <c r="U20" s="104"/>
      <c r="V20" s="105"/>
      <c r="W20" s="106" t="s">
        <v>169</v>
      </c>
      <c r="X20" s="107"/>
      <c r="Y20" s="108"/>
      <c r="Z20" s="112" t="s">
        <v>171</v>
      </c>
      <c r="AA20" s="113"/>
      <c r="AB20" s="113"/>
      <c r="AC20" s="109" t="s">
        <v>170</v>
      </c>
      <c r="AD20" s="110"/>
      <c r="AE20" s="111"/>
    </row>
    <row r="21" spans="1:31" x14ac:dyDescent="0.25">
      <c r="A21" s="21" t="s">
        <v>172</v>
      </c>
      <c r="B21" s="21" t="s">
        <v>173</v>
      </c>
      <c r="C21" s="21" t="s">
        <v>187</v>
      </c>
      <c r="D21" s="21" t="s">
        <v>172</v>
      </c>
      <c r="E21" s="21" t="s">
        <v>173</v>
      </c>
      <c r="F21" s="21" t="s">
        <v>187</v>
      </c>
      <c r="G21" s="21" t="s">
        <v>172</v>
      </c>
      <c r="H21" s="21" t="s">
        <v>173</v>
      </c>
      <c r="I21" s="21" t="s">
        <v>187</v>
      </c>
      <c r="J21" s="21" t="s">
        <v>172</v>
      </c>
      <c r="K21" s="21" t="s">
        <v>173</v>
      </c>
      <c r="L21" s="21" t="s">
        <v>187</v>
      </c>
      <c r="M21" s="21" t="s">
        <v>172</v>
      </c>
      <c r="N21" s="21" t="s">
        <v>173</v>
      </c>
      <c r="O21" s="21" t="s">
        <v>187</v>
      </c>
      <c r="Q21" s="21" t="s">
        <v>172</v>
      </c>
      <c r="R21" s="21" t="s">
        <v>173</v>
      </c>
      <c r="S21" s="21" t="s">
        <v>187</v>
      </c>
      <c r="T21" s="21" t="s">
        <v>172</v>
      </c>
      <c r="U21" s="21" t="s">
        <v>173</v>
      </c>
      <c r="V21" s="21" t="s">
        <v>187</v>
      </c>
      <c r="W21" s="21" t="s">
        <v>172</v>
      </c>
      <c r="X21" s="21" t="s">
        <v>173</v>
      </c>
      <c r="Y21" s="21" t="s">
        <v>187</v>
      </c>
      <c r="Z21" s="30" t="s">
        <v>172</v>
      </c>
      <c r="AA21" s="21" t="s">
        <v>173</v>
      </c>
      <c r="AB21" s="21" t="s">
        <v>187</v>
      </c>
      <c r="AC21" s="21" t="s">
        <v>172</v>
      </c>
      <c r="AD21" s="21" t="s">
        <v>173</v>
      </c>
      <c r="AE21" s="21" t="s">
        <v>187</v>
      </c>
    </row>
    <row r="22" spans="1:31" ht="15" customHeight="1" x14ac:dyDescent="0.25">
      <c r="A22" s="34" t="s">
        <v>175</v>
      </c>
      <c r="B22" s="39" t="s">
        <v>176</v>
      </c>
      <c r="C22" s="26"/>
      <c r="D22" s="26" t="s">
        <v>185</v>
      </c>
      <c r="E22" s="35" t="s">
        <v>239</v>
      </c>
      <c r="F22" s="29"/>
      <c r="G22" s="39" t="s">
        <v>200</v>
      </c>
      <c r="H22" s="39" t="s">
        <v>202</v>
      </c>
      <c r="I22" s="26"/>
      <c r="J22" s="26" t="s">
        <v>203</v>
      </c>
      <c r="K22" s="31" t="s">
        <v>261</v>
      </c>
      <c r="L22" s="27"/>
      <c r="M22" s="42" t="s">
        <v>208</v>
      </c>
      <c r="N22" s="36" t="s">
        <v>250</v>
      </c>
      <c r="O22" s="27"/>
      <c r="Q22" s="34" t="s">
        <v>175</v>
      </c>
      <c r="R22" s="39" t="s">
        <v>176</v>
      </c>
      <c r="S22" s="39" t="s">
        <v>188</v>
      </c>
      <c r="T22" s="26" t="s">
        <v>185</v>
      </c>
      <c r="U22" s="35" t="s">
        <v>254</v>
      </c>
      <c r="V22" s="29"/>
      <c r="W22" s="39" t="s">
        <v>200</v>
      </c>
      <c r="X22" s="39" t="s">
        <v>202</v>
      </c>
      <c r="Y22" s="26"/>
      <c r="Z22" s="39" t="s">
        <v>258</v>
      </c>
      <c r="AA22" s="31" t="s">
        <v>261</v>
      </c>
      <c r="AB22" s="27"/>
      <c r="AC22" s="49" t="s">
        <v>208</v>
      </c>
      <c r="AD22" s="36" t="s">
        <v>265</v>
      </c>
      <c r="AE22" s="27"/>
    </row>
    <row r="23" spans="1:31" ht="15" customHeight="1" x14ac:dyDescent="0.25">
      <c r="A23" s="28" t="s">
        <v>174</v>
      </c>
      <c r="B23" s="40" t="s">
        <v>177</v>
      </c>
      <c r="C23" s="27"/>
      <c r="D23" s="31" t="s">
        <v>277</v>
      </c>
      <c r="E23" s="36" t="s">
        <v>240</v>
      </c>
      <c r="F23" s="27"/>
      <c r="G23" s="40" t="s">
        <v>201</v>
      </c>
      <c r="H23" s="27"/>
      <c r="I23" s="27"/>
      <c r="J23" s="27" t="s">
        <v>204</v>
      </c>
      <c r="K23" s="31" t="s">
        <v>262</v>
      </c>
      <c r="L23" s="27"/>
      <c r="M23" s="40" t="s">
        <v>209</v>
      </c>
      <c r="N23" s="40" t="s">
        <v>251</v>
      </c>
      <c r="O23" s="27"/>
      <c r="Q23" s="28" t="s">
        <v>212</v>
      </c>
      <c r="R23" s="40" t="s">
        <v>177</v>
      </c>
      <c r="S23" s="40" t="s">
        <v>189</v>
      </c>
      <c r="T23" s="31"/>
      <c r="U23" s="36" t="s">
        <v>255</v>
      </c>
      <c r="V23" s="27"/>
      <c r="W23" s="40" t="s">
        <v>201</v>
      </c>
      <c r="X23" s="27"/>
      <c r="Y23" s="27"/>
      <c r="Z23" s="40" t="s">
        <v>259</v>
      </c>
      <c r="AA23" s="31" t="s">
        <v>262</v>
      </c>
      <c r="AB23" s="27"/>
      <c r="AC23" s="50" t="s">
        <v>264</v>
      </c>
      <c r="AD23" s="40" t="s">
        <v>251</v>
      </c>
      <c r="AE23" s="27"/>
    </row>
    <row r="24" spans="1:31" ht="15" customHeight="1" x14ac:dyDescent="0.25">
      <c r="A24" s="28"/>
      <c r="B24" s="40" t="s">
        <v>178</v>
      </c>
      <c r="C24" s="27"/>
      <c r="D24" s="27" t="s">
        <v>237</v>
      </c>
      <c r="E24" s="36" t="s">
        <v>241</v>
      </c>
      <c r="F24" s="27"/>
      <c r="G24" s="27"/>
      <c r="H24" s="27"/>
      <c r="I24" s="27"/>
      <c r="J24" s="27" t="s">
        <v>205</v>
      </c>
      <c r="K24" s="31" t="s">
        <v>249</v>
      </c>
      <c r="L24" s="27"/>
      <c r="M24" s="27"/>
      <c r="N24" s="40" t="s">
        <v>252</v>
      </c>
      <c r="O24" s="27"/>
      <c r="Q24" s="28"/>
      <c r="R24" s="40" t="s">
        <v>178</v>
      </c>
      <c r="S24" s="27"/>
      <c r="T24" s="27"/>
      <c r="U24" s="36" t="s">
        <v>256</v>
      </c>
      <c r="V24" s="27"/>
      <c r="W24" s="40"/>
      <c r="X24" s="27"/>
      <c r="Y24" s="27"/>
      <c r="Z24" s="40"/>
      <c r="AA24" s="31" t="s">
        <v>249</v>
      </c>
      <c r="AB24" s="27"/>
      <c r="AC24" s="50"/>
      <c r="AD24" s="40" t="s">
        <v>252</v>
      </c>
      <c r="AE24" s="27"/>
    </row>
    <row r="25" spans="1:31" ht="15" customHeight="1" x14ac:dyDescent="0.25">
      <c r="A25" s="28"/>
      <c r="B25" s="40" t="s">
        <v>179</v>
      </c>
      <c r="C25" s="27"/>
      <c r="D25" s="27" t="s">
        <v>238</v>
      </c>
      <c r="E25" s="36" t="s">
        <v>242</v>
      </c>
      <c r="F25" s="27"/>
      <c r="G25" s="27"/>
      <c r="H25" s="27"/>
      <c r="I25" s="27"/>
      <c r="J25" s="27"/>
      <c r="K25" s="31" t="s">
        <v>263</v>
      </c>
      <c r="L25" s="27"/>
      <c r="M25" s="27"/>
      <c r="N25" s="36" t="s">
        <v>253</v>
      </c>
      <c r="O25" s="27"/>
      <c r="Q25" s="28"/>
      <c r="R25" s="40" t="s">
        <v>179</v>
      </c>
      <c r="S25" s="27"/>
      <c r="T25" s="27"/>
      <c r="U25" s="36" t="s">
        <v>257</v>
      </c>
      <c r="V25" s="27"/>
      <c r="W25" s="40"/>
      <c r="X25" s="27"/>
      <c r="Y25" s="27"/>
      <c r="Z25" s="40"/>
      <c r="AA25" s="31" t="s">
        <v>263</v>
      </c>
      <c r="AB25" s="27"/>
      <c r="AC25" s="27"/>
      <c r="AD25" s="36" t="s">
        <v>253</v>
      </c>
      <c r="AE25" s="27"/>
    </row>
    <row r="26" spans="1:31" ht="15" customHeight="1" x14ac:dyDescent="0.25">
      <c r="A26" s="28"/>
      <c r="B26" s="40" t="s">
        <v>180</v>
      </c>
      <c r="C26" s="27"/>
      <c r="D26" s="27"/>
      <c r="E26" s="36" t="s">
        <v>243</v>
      </c>
      <c r="F26" s="27"/>
      <c r="G26" s="27"/>
      <c r="H26" s="27"/>
      <c r="I26" s="27"/>
      <c r="J26" s="27"/>
      <c r="K26" s="40" t="s">
        <v>248</v>
      </c>
      <c r="L26" s="27"/>
      <c r="M26" s="27"/>
      <c r="N26" s="27"/>
      <c r="O26" s="27"/>
      <c r="Q26" s="28"/>
      <c r="R26" s="40" t="s">
        <v>180</v>
      </c>
      <c r="S26" s="27"/>
      <c r="T26" s="27"/>
      <c r="U26" s="36"/>
      <c r="V26" s="27"/>
      <c r="W26" s="40"/>
      <c r="X26" s="27"/>
      <c r="Y26" s="27"/>
      <c r="Z26" s="40"/>
      <c r="AA26" s="40"/>
      <c r="AB26" s="27"/>
      <c r="AC26" s="27"/>
      <c r="AD26" s="27"/>
      <c r="AE26" s="27"/>
    </row>
    <row r="27" spans="1:31" ht="15" customHeight="1" x14ac:dyDescent="0.25">
      <c r="A27" s="28"/>
      <c r="B27" s="40"/>
      <c r="C27" s="27"/>
      <c r="D27" s="27"/>
      <c r="E27" s="36" t="s">
        <v>244</v>
      </c>
      <c r="F27" s="27"/>
      <c r="G27" s="27"/>
      <c r="H27" s="27"/>
      <c r="I27" s="27"/>
      <c r="J27" s="27"/>
      <c r="K27" s="27"/>
      <c r="L27" s="27"/>
      <c r="M27" s="27"/>
      <c r="N27" s="27"/>
      <c r="O27" s="27"/>
      <c r="Q27" s="28"/>
      <c r="R27" s="40"/>
      <c r="S27" s="27"/>
      <c r="T27" s="27"/>
      <c r="U27" s="36"/>
      <c r="V27" s="27"/>
      <c r="W27" s="27"/>
      <c r="X27" s="27"/>
      <c r="Y27" s="27"/>
      <c r="Z27" s="40"/>
      <c r="AA27" s="27"/>
      <c r="AB27" s="27"/>
      <c r="AC27" s="27"/>
      <c r="AD27" s="27"/>
      <c r="AE27" s="27"/>
    </row>
    <row r="28" spans="1:31" ht="15" customHeight="1" x14ac:dyDescent="0.25">
      <c r="A28" s="28"/>
      <c r="B28" s="40"/>
      <c r="C28" s="27"/>
      <c r="D28" s="27"/>
      <c r="E28" s="36" t="s">
        <v>245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Q28" s="28"/>
      <c r="R28" s="40"/>
      <c r="S28" s="27"/>
      <c r="T28" s="27"/>
      <c r="U28" s="36"/>
      <c r="V28" s="27"/>
      <c r="W28" s="27"/>
      <c r="X28" s="27"/>
      <c r="Y28" s="27"/>
      <c r="Z28" s="40"/>
      <c r="AA28" s="27"/>
      <c r="AB28" s="27"/>
      <c r="AC28" s="27"/>
      <c r="AD28" s="27"/>
      <c r="AE28" s="27"/>
    </row>
    <row r="29" spans="1:31" ht="15" customHeight="1" x14ac:dyDescent="0.25">
      <c r="A29" s="27"/>
      <c r="B29" s="40"/>
      <c r="C29" s="27"/>
      <c r="D29" s="27"/>
      <c r="E29" s="36" t="s">
        <v>316</v>
      </c>
      <c r="F29" s="27"/>
      <c r="G29" s="27"/>
      <c r="H29" s="27"/>
      <c r="I29" s="27"/>
      <c r="J29" s="27"/>
      <c r="K29" s="27"/>
      <c r="L29" s="27"/>
      <c r="M29" s="27"/>
      <c r="N29" s="27"/>
      <c r="O29" s="27"/>
      <c r="Q29" s="28"/>
      <c r="R29" s="40"/>
      <c r="S29" s="27"/>
      <c r="T29" s="27"/>
      <c r="U29" s="36"/>
      <c r="V29" s="27"/>
      <c r="W29" s="27"/>
      <c r="X29" s="27"/>
      <c r="Y29" s="27"/>
      <c r="Z29" s="40"/>
      <c r="AA29" s="27"/>
      <c r="AB29" s="27"/>
      <c r="AC29" s="27"/>
      <c r="AD29" s="27"/>
      <c r="AE29" s="27"/>
    </row>
    <row r="30" spans="1:31" ht="15" customHeight="1" x14ac:dyDescent="0.25">
      <c r="A30" s="27"/>
      <c r="B30" s="40"/>
      <c r="C30" s="27"/>
      <c r="D30" s="27"/>
      <c r="E30" s="37" t="s">
        <v>246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Q30" s="28"/>
      <c r="R30" s="40"/>
      <c r="S30" s="27"/>
      <c r="T30" s="27"/>
      <c r="U30" s="37"/>
      <c r="V30" s="27"/>
      <c r="W30" s="27"/>
      <c r="X30" s="27"/>
      <c r="Y30" s="27"/>
      <c r="Z30" s="40"/>
      <c r="AA30" s="27"/>
      <c r="AB30" s="27"/>
      <c r="AC30" s="27"/>
      <c r="AD30" s="27"/>
      <c r="AE30" s="27"/>
    </row>
    <row r="31" spans="1:31" ht="15" customHeight="1" x14ac:dyDescent="0.25">
      <c r="A31" s="33"/>
      <c r="B31" s="41"/>
      <c r="C31" s="33"/>
      <c r="D31" s="33"/>
      <c r="E31" s="38" t="s">
        <v>247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Q31" s="32"/>
      <c r="R31" s="41"/>
      <c r="S31" s="33"/>
      <c r="T31" s="33"/>
      <c r="U31" s="38"/>
      <c r="V31" s="33"/>
      <c r="W31" s="33"/>
      <c r="X31" s="33"/>
      <c r="Y31" s="33"/>
      <c r="Z31" s="41"/>
      <c r="AA31" s="33"/>
      <c r="AB31" s="33"/>
      <c r="AC31" s="33"/>
      <c r="AD31" s="33"/>
      <c r="AE31" s="33"/>
    </row>
    <row r="34" spans="1:29" x14ac:dyDescent="0.25">
      <c r="A34" s="99" t="s">
        <v>266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</row>
    <row r="35" spans="1:29" x14ac:dyDescent="0.25">
      <c r="A35" s="100" t="s">
        <v>167</v>
      </c>
      <c r="B35" s="101"/>
      <c r="C35" s="102"/>
      <c r="D35" s="103" t="s">
        <v>168</v>
      </c>
      <c r="E35" s="104"/>
      <c r="F35" s="105"/>
      <c r="G35" s="106" t="s">
        <v>169</v>
      </c>
      <c r="H35" s="107"/>
      <c r="I35" s="108"/>
      <c r="J35" s="112" t="s">
        <v>171</v>
      </c>
      <c r="K35" s="113"/>
      <c r="L35" s="113"/>
      <c r="M35" s="109" t="s">
        <v>170</v>
      </c>
      <c r="N35" s="110"/>
      <c r="O35" s="111"/>
    </row>
    <row r="36" spans="1:29" x14ac:dyDescent="0.25">
      <c r="A36" s="21" t="s">
        <v>172</v>
      </c>
      <c r="B36" s="21" t="s">
        <v>173</v>
      </c>
      <c r="C36" s="21" t="s">
        <v>187</v>
      </c>
      <c r="D36" s="21" t="s">
        <v>172</v>
      </c>
      <c r="E36" s="21" t="s">
        <v>173</v>
      </c>
      <c r="F36" s="21" t="s">
        <v>187</v>
      </c>
      <c r="G36" s="21" t="s">
        <v>172</v>
      </c>
      <c r="H36" s="21" t="s">
        <v>173</v>
      </c>
      <c r="I36" s="21" t="s">
        <v>187</v>
      </c>
      <c r="J36" s="30" t="s">
        <v>172</v>
      </c>
      <c r="K36" s="21" t="s">
        <v>173</v>
      </c>
      <c r="L36" s="21" t="s">
        <v>187</v>
      </c>
      <c r="M36" s="21" t="s">
        <v>172</v>
      </c>
      <c r="N36" s="21" t="s">
        <v>173</v>
      </c>
      <c r="O36" s="21" t="s">
        <v>187</v>
      </c>
    </row>
    <row r="37" spans="1:29" ht="15" customHeight="1" x14ac:dyDescent="0.35">
      <c r="A37" s="34" t="s">
        <v>175</v>
      </c>
      <c r="B37" s="39" t="s">
        <v>176</v>
      </c>
      <c r="C37" s="39" t="s">
        <v>188</v>
      </c>
      <c r="D37" s="26" t="s">
        <v>215</v>
      </c>
      <c r="E37" s="35" t="s">
        <v>268</v>
      </c>
      <c r="F37" s="29"/>
      <c r="G37" s="39" t="s">
        <v>200</v>
      </c>
      <c r="H37" s="39" t="s">
        <v>202</v>
      </c>
      <c r="I37" s="26"/>
      <c r="J37" s="39" t="s">
        <v>258</v>
      </c>
      <c r="K37" s="31" t="s">
        <v>261</v>
      </c>
      <c r="L37" s="27"/>
      <c r="M37" s="49" t="s">
        <v>208</v>
      </c>
      <c r="N37" s="36" t="s">
        <v>265</v>
      </c>
      <c r="O37" s="27"/>
      <c r="S37" s="51"/>
    </row>
    <row r="38" spans="1:29" ht="15" customHeight="1" x14ac:dyDescent="0.25">
      <c r="A38" s="65">
        <v>44846</v>
      </c>
      <c r="B38" s="40" t="s">
        <v>177</v>
      </c>
      <c r="C38" s="40" t="s">
        <v>189</v>
      </c>
      <c r="D38" s="31" t="s">
        <v>267</v>
      </c>
      <c r="E38" s="36" t="s">
        <v>269</v>
      </c>
      <c r="F38" s="27"/>
      <c r="G38" s="40" t="s">
        <v>201</v>
      </c>
      <c r="H38" s="27"/>
      <c r="I38" s="27"/>
      <c r="J38" s="40" t="s">
        <v>259</v>
      </c>
      <c r="K38" s="31" t="s">
        <v>262</v>
      </c>
      <c r="L38" s="27"/>
      <c r="M38" s="50" t="s">
        <v>209</v>
      </c>
      <c r="N38" s="40" t="s">
        <v>251</v>
      </c>
      <c r="O38" s="27"/>
    </row>
    <row r="39" spans="1:29" ht="15" customHeight="1" x14ac:dyDescent="0.25">
      <c r="A39" s="28"/>
      <c r="B39" s="40" t="s">
        <v>178</v>
      </c>
      <c r="C39" s="27"/>
      <c r="D39" s="27" t="s">
        <v>217</v>
      </c>
      <c r="E39" s="36" t="s">
        <v>270</v>
      </c>
      <c r="F39" s="27"/>
      <c r="G39" s="40"/>
      <c r="H39" s="27"/>
      <c r="I39" s="27"/>
      <c r="J39" s="40" t="s">
        <v>260</v>
      </c>
      <c r="K39" s="31" t="s">
        <v>249</v>
      </c>
      <c r="L39" s="27"/>
      <c r="M39" s="50"/>
      <c r="N39" s="40" t="s">
        <v>252</v>
      </c>
      <c r="O39" s="27"/>
    </row>
    <row r="40" spans="1:29" ht="15" customHeight="1" x14ac:dyDescent="0.25">
      <c r="A40" s="28"/>
      <c r="B40" s="40" t="s">
        <v>179</v>
      </c>
      <c r="C40" s="27"/>
      <c r="D40" s="27" t="s">
        <v>184</v>
      </c>
      <c r="E40" s="36" t="s">
        <v>227</v>
      </c>
      <c r="F40" s="27"/>
      <c r="G40" s="40"/>
      <c r="H40" s="27"/>
      <c r="I40" s="27"/>
      <c r="J40" s="40"/>
      <c r="K40" s="31" t="s">
        <v>263</v>
      </c>
      <c r="L40" s="27"/>
      <c r="M40" s="27"/>
      <c r="N40" s="36" t="s">
        <v>253</v>
      </c>
      <c r="O40" s="27"/>
    </row>
    <row r="41" spans="1:29" x14ac:dyDescent="0.25">
      <c r="A41" s="28"/>
      <c r="B41" s="40" t="s">
        <v>180</v>
      </c>
      <c r="C41" s="27"/>
      <c r="D41" s="27" t="s">
        <v>185</v>
      </c>
      <c r="E41" s="36" t="s">
        <v>271</v>
      </c>
      <c r="F41" s="27"/>
      <c r="G41" s="40"/>
      <c r="H41" s="27"/>
      <c r="I41" s="27"/>
      <c r="J41" s="40"/>
      <c r="K41" s="40"/>
      <c r="L41" s="27"/>
      <c r="M41" s="27"/>
      <c r="N41" s="27"/>
      <c r="O41" s="27"/>
      <c r="Y41" s="19"/>
    </row>
    <row r="42" spans="1:29" x14ac:dyDescent="0.25">
      <c r="A42" s="28"/>
      <c r="B42" s="40"/>
      <c r="C42" s="27"/>
      <c r="D42" s="27" t="s">
        <v>186</v>
      </c>
      <c r="E42" s="36" t="s">
        <v>304</v>
      </c>
      <c r="F42" s="27"/>
      <c r="G42" s="27"/>
      <c r="H42" s="27"/>
      <c r="I42" s="27"/>
      <c r="J42" s="40"/>
      <c r="K42" s="27"/>
      <c r="L42" s="27"/>
      <c r="M42" s="27"/>
      <c r="N42" s="27"/>
      <c r="O42" s="27"/>
    </row>
    <row r="43" spans="1:29" x14ac:dyDescent="0.25">
      <c r="A43" s="28"/>
      <c r="B43" s="40"/>
      <c r="C43" s="27"/>
      <c r="D43" s="27"/>
      <c r="E43" s="36" t="s">
        <v>314</v>
      </c>
      <c r="F43" s="27"/>
      <c r="G43" s="27"/>
      <c r="H43" s="27"/>
      <c r="I43" s="27"/>
      <c r="J43" s="40"/>
      <c r="K43" s="27"/>
      <c r="L43" s="27"/>
      <c r="M43" s="27"/>
      <c r="N43" s="27"/>
      <c r="O43" s="27"/>
    </row>
    <row r="44" spans="1:29" x14ac:dyDescent="0.25">
      <c r="A44" s="28"/>
      <c r="B44" s="40"/>
      <c r="C44" s="27"/>
      <c r="D44" s="27"/>
      <c r="E44" s="36"/>
      <c r="F44" s="27"/>
      <c r="G44" s="27"/>
      <c r="H44" s="27"/>
      <c r="I44" s="27"/>
      <c r="J44" s="40"/>
      <c r="K44" s="27"/>
      <c r="L44" s="27"/>
      <c r="M44" s="27"/>
      <c r="N44" s="27"/>
      <c r="O44" s="27"/>
      <c r="AC44" s="19"/>
    </row>
    <row r="45" spans="1:29" x14ac:dyDescent="0.25">
      <c r="A45" s="28"/>
      <c r="B45" s="40"/>
      <c r="C45" s="27"/>
      <c r="D45" s="27"/>
      <c r="E45" s="37"/>
      <c r="F45" s="27"/>
      <c r="G45" s="27"/>
      <c r="H45" s="27"/>
      <c r="I45" s="27"/>
      <c r="J45" s="40"/>
      <c r="K45" s="27"/>
      <c r="L45" s="27"/>
      <c r="M45" s="27"/>
      <c r="N45" s="27"/>
      <c r="O45" s="27"/>
    </row>
    <row r="46" spans="1:29" x14ac:dyDescent="0.25">
      <c r="A46" s="32"/>
      <c r="B46" s="41"/>
      <c r="C46" s="33"/>
      <c r="D46" s="33"/>
      <c r="E46" s="38"/>
      <c r="F46" s="33"/>
      <c r="G46" s="33"/>
      <c r="H46" s="33"/>
      <c r="I46" s="33"/>
      <c r="J46" s="41"/>
      <c r="K46" s="33"/>
      <c r="L46" s="33"/>
      <c r="M46" s="33"/>
      <c r="N46" s="33"/>
      <c r="O46" s="33"/>
    </row>
  </sheetData>
  <mergeCells count="30">
    <mergeCell ref="A34:O34"/>
    <mergeCell ref="A35:C35"/>
    <mergeCell ref="D35:F35"/>
    <mergeCell ref="G35:I35"/>
    <mergeCell ref="J35:L35"/>
    <mergeCell ref="M35:O35"/>
    <mergeCell ref="Q19:AE19"/>
    <mergeCell ref="Q20:S20"/>
    <mergeCell ref="T20:V20"/>
    <mergeCell ref="W20:Y20"/>
    <mergeCell ref="Z20:AB20"/>
    <mergeCell ref="AC20:AE20"/>
    <mergeCell ref="A19:O19"/>
    <mergeCell ref="A20:C20"/>
    <mergeCell ref="D20:F20"/>
    <mergeCell ref="G20:I20"/>
    <mergeCell ref="J20:L20"/>
    <mergeCell ref="M20:O20"/>
    <mergeCell ref="Q1:AE1"/>
    <mergeCell ref="Q2:S2"/>
    <mergeCell ref="T2:V2"/>
    <mergeCell ref="W2:Y2"/>
    <mergeCell ref="Z2:AB2"/>
    <mergeCell ref="AC2:AE2"/>
    <mergeCell ref="A1:O1"/>
    <mergeCell ref="A2:C2"/>
    <mergeCell ref="D2:F2"/>
    <mergeCell ref="G2:I2"/>
    <mergeCell ref="M2:O2"/>
    <mergeCell ref="J2:L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DataLogin</vt:lpstr>
      <vt:lpstr>DataReport</vt:lpstr>
      <vt:lpstr>Summary (Open)</vt:lpstr>
      <vt:lpstr>Charts</vt:lpstr>
      <vt:lpstr>Sortir</vt:lpstr>
      <vt:lpstr>ChangeContent</vt:lpstr>
      <vt:lpstr>bulan</vt:lpstr>
      <vt:lpstr>Ganjil</vt:lpstr>
      <vt:lpstr>Genap</vt:lpstr>
      <vt:lpstr>GenapFebruary</vt:lpstr>
    </vt:vector>
  </TitlesOfParts>
  <Company>Panasonic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EINSFRIANAS_Nechya</dc:creator>
  <cp:lastModifiedBy>EINSFRIANAS_Nechya</cp:lastModifiedBy>
  <dcterms:created xsi:type="dcterms:W3CDTF">2022-07-04T07:28:52Z</dcterms:created>
  <dcterms:modified xsi:type="dcterms:W3CDTF">2022-11-02T00:07:24Z</dcterms:modified>
</cp:coreProperties>
</file>