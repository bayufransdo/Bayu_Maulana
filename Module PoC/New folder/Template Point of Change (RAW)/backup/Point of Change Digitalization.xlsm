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D8296\Documents\PoC Digitalization\"/>
    </mc:Choice>
  </mc:AlternateContent>
  <xr:revisionPtr revIDLastSave="0" documentId="13_ncr:1_{99C3EDA8-AFEA-43F3-B377-12317EC44584}" xr6:coauthVersionLast="47" xr6:coauthVersionMax="47" xr10:uidLastSave="{00000000-0000-0000-0000-000000000000}"/>
  <bookViews>
    <workbookView xWindow="-120" yWindow="-120" windowWidth="19440" windowHeight="15000" tabRatio="763" xr2:uid="{79EFD8A5-4F41-4C3B-9F3C-D4844022BA89}"/>
  </bookViews>
  <sheets>
    <sheet name="DataLogin" sheetId="3" r:id="rId1"/>
    <sheet name="DataReport" sheetId="2" r:id="rId2"/>
    <sheet name="Summary" sheetId="5" r:id="rId3"/>
    <sheet name="Status" sheetId="7" r:id="rId4"/>
    <sheet name="ChangeContent" sheetId="8" r:id="rId5"/>
  </sheets>
  <definedNames>
    <definedName name="_xlnm._FilterDatabase" localSheetId="1" hidden="1">DataReport!$A$2:$S$19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3" i="7" l="1"/>
  <c r="V34" i="7"/>
  <c r="V35" i="7"/>
  <c r="V36" i="7"/>
  <c r="V32" i="7"/>
  <c r="V63" i="7"/>
  <c r="V64" i="7"/>
  <c r="V65" i="7"/>
  <c r="V66" i="7"/>
  <c r="V62" i="7"/>
  <c r="U63" i="7"/>
  <c r="U64" i="7"/>
  <c r="U65" i="7"/>
  <c r="U66" i="7"/>
  <c r="U62" i="7"/>
  <c r="U33" i="7"/>
  <c r="U34" i="7"/>
  <c r="U35" i="7"/>
  <c r="U36" i="7"/>
  <c r="U32" i="7"/>
  <c r="U67" i="7" l="1"/>
  <c r="V37" i="7"/>
  <c r="U37" i="7"/>
  <c r="V5" i="7"/>
  <c r="V6" i="7"/>
  <c r="V7" i="7"/>
  <c r="V8" i="7"/>
  <c r="V4" i="7"/>
  <c r="U5" i="7"/>
  <c r="U6" i="7"/>
  <c r="U7" i="7"/>
  <c r="U8" i="7"/>
  <c r="U4" i="7"/>
  <c r="C61" i="7"/>
  <c r="C62" i="7"/>
  <c r="C63" i="7"/>
  <c r="C64" i="7"/>
  <c r="C60" i="7"/>
  <c r="B61" i="7"/>
  <c r="B62" i="7"/>
  <c r="B63" i="7"/>
  <c r="B64" i="7"/>
  <c r="B60" i="7"/>
  <c r="B34" i="7"/>
  <c r="B35" i="7"/>
  <c r="B36" i="7"/>
  <c r="B37" i="7"/>
  <c r="B33" i="7"/>
  <c r="C34" i="7"/>
  <c r="C35" i="7"/>
  <c r="C36" i="7"/>
  <c r="C37" i="7"/>
  <c r="C33" i="7"/>
  <c r="C5" i="7"/>
  <c r="C6" i="7"/>
  <c r="C7" i="7"/>
  <c r="C8" i="7"/>
  <c r="C4" i="7"/>
  <c r="B5" i="7"/>
  <c r="B6" i="7"/>
  <c r="B7" i="7"/>
  <c r="B8" i="7"/>
  <c r="B4" i="7"/>
  <c r="V67" i="7" l="1"/>
  <c r="B9" i="7"/>
  <c r="V9" i="7"/>
  <c r="U9" i="7"/>
  <c r="B38" i="7"/>
  <c r="C38" i="7"/>
  <c r="B65" i="7"/>
  <c r="C9" i="7"/>
  <c r="C65" i="7" l="1"/>
</calcChain>
</file>

<file path=xl/sharedStrings.xml><?xml version="1.0" encoding="utf-8"?>
<sst xmlns="http://schemas.openxmlformats.org/spreadsheetml/2006/main" count="1006" uniqueCount="431">
  <si>
    <t>PURWANTO</t>
  </si>
  <si>
    <t>NECHYA EINSFRIANAS</t>
  </si>
  <si>
    <t>YAN ADIATMA</t>
  </si>
  <si>
    <t>IKA IRAWATI</t>
  </si>
  <si>
    <t>TIOMASA SIBURIAN</t>
  </si>
  <si>
    <t>FAHRIZAL</t>
  </si>
  <si>
    <t>ANNI TAMBA</t>
  </si>
  <si>
    <t>JHON APRIL SAPUTRA</t>
  </si>
  <si>
    <t>LAURENSIUS SINENDRA MANIK</t>
  </si>
  <si>
    <t>ASIMA ROHANI SIRAIT</t>
  </si>
  <si>
    <t>MASPERA SIMBOLON</t>
  </si>
  <si>
    <t>HERBART GADING</t>
  </si>
  <si>
    <t>LINDA ESRA GINTING</t>
  </si>
  <si>
    <t>ZERLINA HARAHAP</t>
  </si>
  <si>
    <t>002103</t>
  </si>
  <si>
    <t>002024</t>
  </si>
  <si>
    <t>NAME</t>
  </si>
  <si>
    <t>EE NO</t>
  </si>
  <si>
    <t>LEADER</t>
  </si>
  <si>
    <t>SHELLY M. SAGALA</t>
  </si>
  <si>
    <t>WIDIYAWATI</t>
  </si>
  <si>
    <t>DAHLIA MELIANA SIANTURI</t>
  </si>
  <si>
    <t>FITRI LILIS SURYANI PGB</t>
  </si>
  <si>
    <t>EVA ROSDIANA DEWI</t>
  </si>
  <si>
    <t>UMI SAMSIATIN</t>
  </si>
  <si>
    <t>RIZKI IMANIAR</t>
  </si>
  <si>
    <t>RENTA LUMBANSIANTAR</t>
  </si>
  <si>
    <t>LUSVIKA SIBUEA</t>
  </si>
  <si>
    <t>CHANDRA ZEBUA</t>
  </si>
  <si>
    <t>SRI WAHYUNI</t>
  </si>
  <si>
    <t>MELDA GUSTINI</t>
  </si>
  <si>
    <t>SUCI ARDILLA MONICH</t>
  </si>
  <si>
    <t>INDAH SRI MARYANTI</t>
  </si>
  <si>
    <t>YENNI RATNASARI PURBA</t>
  </si>
  <si>
    <t>ANNIS KURNIA SARI</t>
  </si>
  <si>
    <t>YUNISMA HALIMATUN SA`DIAH</t>
  </si>
  <si>
    <t>RINI FEBRIANTI</t>
  </si>
  <si>
    <t>DINI DARIYANTO PUTRI</t>
  </si>
  <si>
    <t>NURBAYA MANURUNG</t>
  </si>
  <si>
    <t>MIZANTI</t>
  </si>
  <si>
    <t>IRWANDI</t>
  </si>
  <si>
    <t>ANNA RIA SILABAN</t>
  </si>
  <si>
    <t>HERLINA WITA FAULING SIMANDALAHI</t>
  </si>
  <si>
    <t>ALDILA MILENIA SAPUTRI</t>
  </si>
  <si>
    <t>NIZA INDRIANI</t>
  </si>
  <si>
    <t>DESY ANGGRAYANI</t>
  </si>
  <si>
    <t>WISHCHANGE SILALAHI</t>
  </si>
  <si>
    <t>ELENTINA SITUMORANG</t>
  </si>
  <si>
    <t>AGIL VURKAN</t>
  </si>
  <si>
    <t>GALIF FAJLI</t>
  </si>
  <si>
    <t>SAHRIL EFENDI</t>
  </si>
  <si>
    <t>ALDINO ADE SAPUTRA</t>
  </si>
  <si>
    <t>TRI WAHYU PRASETIYO</t>
  </si>
  <si>
    <t>ARDIANSAH</t>
  </si>
  <si>
    <t>FUAD MAULANA</t>
  </si>
  <si>
    <t>RIVAI RAHMANSYAH</t>
  </si>
  <si>
    <t>INTAN SEPTA VIOLA</t>
  </si>
  <si>
    <t>KHAIRUL NAJIB</t>
  </si>
  <si>
    <t>SUCI ANANDA PRATIWI</t>
  </si>
  <si>
    <t>SEDIMA HASIBUAN</t>
  </si>
  <si>
    <t>HUTRIANI</t>
  </si>
  <si>
    <t>TOTA SINAGA</t>
  </si>
  <si>
    <t>ALIF NURHIDAYAT</t>
  </si>
  <si>
    <t>RIZKA ARDIANTI</t>
  </si>
  <si>
    <t>AULIA ASIH KHAIRIAH</t>
  </si>
  <si>
    <t>DELISMA SILAEN</t>
  </si>
  <si>
    <t>TINUR SIMBOLON</t>
  </si>
  <si>
    <t>SISKA PANDINI</t>
  </si>
  <si>
    <t>RISMA EMMANUELLY  SITUMORANG</t>
  </si>
  <si>
    <t>RAHMA YANTI</t>
  </si>
  <si>
    <t>NURASIKA</t>
  </si>
  <si>
    <t>SITI YUMARLIN</t>
  </si>
  <si>
    <t>RESTU NOPRIYANTI</t>
  </si>
  <si>
    <t>MANNA WASSALWA</t>
  </si>
  <si>
    <t>SISRA MAHARANI</t>
  </si>
  <si>
    <t>RAMADANI SAPITRI</t>
  </si>
  <si>
    <t>FADHILLAH AGUSTIA</t>
  </si>
  <si>
    <t>TIURMA SIHOMBING</t>
  </si>
  <si>
    <t>LAMRIA HASIOLAN SIRINGORINGO</t>
  </si>
  <si>
    <t>HALIMATUS SA`DIAH</t>
  </si>
  <si>
    <t>ELVA ANGGRAINI</t>
  </si>
  <si>
    <t>ROSALINDA MARISA</t>
  </si>
  <si>
    <t>DEAN PUTRIANI ALVIN</t>
  </si>
  <si>
    <t>EKA NURMAN SYAFITRI</t>
  </si>
  <si>
    <t>ERISMAYANTI</t>
  </si>
  <si>
    <t>HERA L. NAINGGOLAN</t>
  </si>
  <si>
    <t>SITI NURJANAH</t>
  </si>
  <si>
    <t>LARA KURNIA</t>
  </si>
  <si>
    <t>NADILA DESTIANI</t>
  </si>
  <si>
    <t>SIERA NEVADA</t>
  </si>
  <si>
    <t>ALYA PRATIWI</t>
  </si>
  <si>
    <t>IIS SANTIKA SANTUNG</t>
  </si>
  <si>
    <t>ANGGIOVANI FLORENCIA SIALLAGAN</t>
  </si>
  <si>
    <t>DEWI FATMAWATI</t>
  </si>
  <si>
    <t>FEGA YUSI KIBA SIHOMBING</t>
  </si>
  <si>
    <t>TINCE HUTABARAT</t>
  </si>
  <si>
    <t>SARLIWATI PANJAITAN</t>
  </si>
  <si>
    <t>SUPRIONO</t>
  </si>
  <si>
    <t>002112</t>
  </si>
  <si>
    <t>ARIFIN PUTRA</t>
  </si>
  <si>
    <t>ANTON SIREGAR</t>
  </si>
  <si>
    <t>PIKI MAYUDI</t>
  </si>
  <si>
    <t>JHON WESLEY BANJARNAHOR</t>
  </si>
  <si>
    <t>RONI SANJAYA</t>
  </si>
  <si>
    <t>IBRAHIM</t>
  </si>
  <si>
    <t>AFIF RIYANTO</t>
  </si>
  <si>
    <t>ADEK SUPRIYADI</t>
  </si>
  <si>
    <t>RUDI ANGGIAT MANGIHUT SIJABAT</t>
  </si>
  <si>
    <t>HEPPY  SEVENDRA</t>
  </si>
  <si>
    <t>GR NUKE HERDIANTO</t>
  </si>
  <si>
    <t>HAMONANGAN SINAGA</t>
  </si>
  <si>
    <t>BANGBANG SUPRIYATNO</t>
  </si>
  <si>
    <t>MARWANTO</t>
  </si>
  <si>
    <t>MOHAMAD IRWAN FATACH</t>
  </si>
  <si>
    <t>UJI PRAMONO</t>
  </si>
  <si>
    <t>DAVID FEBRYANTO SIMANJUNTAK</t>
  </si>
  <si>
    <t>FAIZ MANSYUR</t>
  </si>
  <si>
    <t>JOSUA PANGESTU LUMBANTUNGKUP</t>
  </si>
  <si>
    <t>ALVA FEBRIYAN HAQIQI</t>
  </si>
  <si>
    <t>MISBAH HODDIN</t>
  </si>
  <si>
    <t>WISAM ABIYU</t>
  </si>
  <si>
    <t>RUDIANTO PURBA</t>
  </si>
  <si>
    <t>YONDRI FAIZAL</t>
  </si>
  <si>
    <t>AGUS MARGONO</t>
  </si>
  <si>
    <t>PASTI AMAN DAMANIK</t>
  </si>
  <si>
    <t>BAYU MURTI</t>
  </si>
  <si>
    <t>MAJID ALIF MASRURIN</t>
  </si>
  <si>
    <t>BIMANANTA SEPTIAN NARDI</t>
  </si>
  <si>
    <t>EFRAYIN SIREGAR</t>
  </si>
  <si>
    <t>JUFRI MAHENDRA</t>
  </si>
  <si>
    <t>RONI FAZLI</t>
  </si>
  <si>
    <t>LUSMAWATI PARHUSIP</t>
  </si>
  <si>
    <t>ANDREAS S</t>
  </si>
  <si>
    <t>DANNI ZULKARNAIN</t>
  </si>
  <si>
    <t>MUHAMMAD ABDUL AZIS</t>
  </si>
  <si>
    <t>RUDY RIZKI NABABAN</t>
  </si>
  <si>
    <t>DEWI PARDEDE</t>
  </si>
  <si>
    <t>DIDIK NURCAHYONO</t>
  </si>
  <si>
    <t>CHRISTY MONITA</t>
  </si>
  <si>
    <t>MUHAMMAD HOIRUL ANWAR</t>
  </si>
  <si>
    <t>PANJI SYAFRIKO</t>
  </si>
  <si>
    <t>ERLINDA</t>
  </si>
  <si>
    <t>ESA PUTRIKA</t>
  </si>
  <si>
    <t>YOEL PRAYOGO SITUMEANG</t>
  </si>
  <si>
    <t>DARWANTO</t>
  </si>
  <si>
    <t>002284</t>
  </si>
  <si>
    <t>YULI HENDRI</t>
  </si>
  <si>
    <t>MUHAMAD RIZKI</t>
  </si>
  <si>
    <t>RENALDY ARITHA</t>
  </si>
  <si>
    <t>RINALDI.Z</t>
  </si>
  <si>
    <t>DZULATIEF BAEHAKI</t>
  </si>
  <si>
    <t>ARIEF IRWANTO</t>
  </si>
  <si>
    <t>ABDUL ROHMAN</t>
  </si>
  <si>
    <t>WIDI HARTONO</t>
  </si>
  <si>
    <t>HARI PURNOMO</t>
  </si>
  <si>
    <t>002023</t>
  </si>
  <si>
    <t>HERU PURNIAWAN</t>
  </si>
  <si>
    <t>PURWADI</t>
  </si>
  <si>
    <t>ZULFIKAR</t>
  </si>
  <si>
    <t>ANDANG SULISTYO</t>
  </si>
  <si>
    <t>NELLYANA SIMANJUNTAK</t>
  </si>
  <si>
    <t>RENTAULI SITIO</t>
  </si>
  <si>
    <t>CRISDIANA OKTAVIA</t>
  </si>
  <si>
    <t>ADE IRMAYANI RITONGA</t>
  </si>
  <si>
    <t>RENA CICILIA BR SARAGIH</t>
  </si>
  <si>
    <t>LASRONA SIHOTANG</t>
  </si>
  <si>
    <t>SITI SAMA`AH</t>
  </si>
  <si>
    <t>CRISTINA BR NADEAK</t>
  </si>
  <si>
    <t>YORIZA DIRHAYATI</t>
  </si>
  <si>
    <t>FITRI RAHMAYANI</t>
  </si>
  <si>
    <t>LELITA HASIBUAN</t>
  </si>
  <si>
    <t>RIKA ZAILANI</t>
  </si>
  <si>
    <t>AULIA RISMAN NA`IM</t>
  </si>
  <si>
    <t>NOVI MONITA</t>
  </si>
  <si>
    <t>FEBDI ARIYA SAPUTRA</t>
  </si>
  <si>
    <t>ARI WINATA PURBA</t>
  </si>
  <si>
    <t>MAULANA IKHSAN</t>
  </si>
  <si>
    <t>RAMADHINI ARTI</t>
  </si>
  <si>
    <t>WINDY ADRIANTO</t>
  </si>
  <si>
    <t>BUNTORA MANIK</t>
  </si>
  <si>
    <t>SITRI YOLANDA</t>
  </si>
  <si>
    <t>RONI SYAPUTRA RIDOAN ZAI</t>
  </si>
  <si>
    <t>RAFLI SAPUTRA</t>
  </si>
  <si>
    <t>EDI SANTOSA</t>
  </si>
  <si>
    <t>TRI YANTA</t>
  </si>
  <si>
    <t>KUKUH JATMIKO</t>
  </si>
  <si>
    <t>MUHAMMAD ADITYA ARIF PRAKOSO</t>
  </si>
  <si>
    <t>WINTORO</t>
  </si>
  <si>
    <t>RETNO NAPITUPULU</t>
  </si>
  <si>
    <t>BEJO DWI UTOMO</t>
  </si>
  <si>
    <t>FIBRI ARDIYANTO</t>
  </si>
  <si>
    <t>EKO SETIAWAN</t>
  </si>
  <si>
    <t>RICHAN FIRDAUS</t>
  </si>
  <si>
    <t>RACHMAT PERDANA LUBIS</t>
  </si>
  <si>
    <t>HARDIANSYAH HASIBUAN</t>
  </si>
  <si>
    <t>JOSRIZAL SIREGAR</t>
  </si>
  <si>
    <t>THEO DIRGAHAYU TAMPUBOLON</t>
  </si>
  <si>
    <t>IMMANUEL SYAHPUTRA</t>
  </si>
  <si>
    <t>MEMBER</t>
  </si>
  <si>
    <t>Date</t>
  </si>
  <si>
    <t>Time</t>
  </si>
  <si>
    <t>Model/Type</t>
  </si>
  <si>
    <t>Part No</t>
  </si>
  <si>
    <t>Machine Name</t>
  </si>
  <si>
    <t>5M</t>
  </si>
  <si>
    <t>Shift Pattern</t>
  </si>
  <si>
    <t>Affected Lot No</t>
  </si>
  <si>
    <t>Process</t>
  </si>
  <si>
    <t>Process no</t>
  </si>
  <si>
    <t>Machine No</t>
  </si>
  <si>
    <t>No</t>
  </si>
  <si>
    <t>MAN</t>
  </si>
  <si>
    <t>EE No</t>
  </si>
  <si>
    <t>Name</t>
  </si>
  <si>
    <t>Form Size</t>
  </si>
  <si>
    <t>Last Login</t>
  </si>
  <si>
    <t>MACHINE</t>
  </si>
  <si>
    <t>METHOD</t>
  </si>
  <si>
    <t>S/N</t>
  </si>
  <si>
    <t>Issued Date</t>
  </si>
  <si>
    <t>Phenonmenom (Claim Contents)</t>
  </si>
  <si>
    <t>PoC IssuedBy</t>
  </si>
  <si>
    <t>Lot No</t>
  </si>
  <si>
    <t>Treatment</t>
  </si>
  <si>
    <t>Status</t>
  </si>
  <si>
    <t>MATERIAL</t>
  </si>
  <si>
    <t>MEASUREMENT</t>
  </si>
  <si>
    <t>Total All</t>
  </si>
  <si>
    <t>ER</t>
  </si>
  <si>
    <t>Summary Report</t>
  </si>
  <si>
    <t>Product Type : ERG(X)</t>
  </si>
  <si>
    <t>SPIRALLING</t>
  </si>
  <si>
    <t>Spiralling</t>
  </si>
  <si>
    <t>man</t>
  </si>
  <si>
    <t>machine</t>
  </si>
  <si>
    <t>method</t>
  </si>
  <si>
    <t>material</t>
  </si>
  <si>
    <t>measurement</t>
  </si>
  <si>
    <t>Plan</t>
  </si>
  <si>
    <t>Unplan</t>
  </si>
  <si>
    <t xml:space="preserve"> On training (to follow schedule)</t>
  </si>
  <si>
    <t>On leave schedule ( AL, NPL,ML)</t>
  </si>
  <si>
    <t>There is support from other processes</t>
  </si>
  <si>
    <t>sudden leave</t>
  </si>
  <si>
    <t>absence (without information)</t>
  </si>
  <si>
    <t xml:space="preserve">MC (sick leave) </t>
  </si>
  <si>
    <t>hourly leave</t>
  </si>
  <si>
    <t xml:space="preserve">New machine /  turn over </t>
  </si>
  <si>
    <t xml:space="preserve">repair </t>
  </si>
  <si>
    <t xml:space="preserve">merger </t>
  </si>
  <si>
    <t>replacement of damaged spare parts</t>
  </si>
  <si>
    <t>TPM schedule</t>
  </si>
  <si>
    <t>change forming type</t>
  </si>
  <si>
    <t>Other</t>
  </si>
  <si>
    <t>For member after re-joint &amp; maternity leave</t>
  </si>
  <si>
    <t>re-fresh training only before transfer to production</t>
  </si>
  <si>
    <t>Cutter break</t>
  </si>
  <si>
    <t>cutter touch a cap</t>
  </si>
  <si>
    <t>Motor jammed</t>
  </si>
  <si>
    <t>Cutting line poor app, Sensor not function</t>
  </si>
  <si>
    <t>Cutting interruption</t>
  </si>
  <si>
    <t>Policord broken</t>
  </si>
  <si>
    <t>Electrical Fault</t>
  </si>
  <si>
    <t>Shaft chuck jammed</t>
  </si>
  <si>
    <t>Change cutter</t>
  </si>
  <si>
    <t>Change Flange</t>
  </si>
  <si>
    <t>Change procedure</t>
  </si>
  <si>
    <t>change in process conditions</t>
  </si>
  <si>
    <t>In-correct operating system flow</t>
  </si>
  <si>
    <t>Substitution of equipment / components / jig</t>
  </si>
  <si>
    <t>Repair of equipment / components / jig</t>
  </si>
  <si>
    <t>Changes to the inspection progra</t>
  </si>
  <si>
    <t>R/V Checker error</t>
  </si>
  <si>
    <t>R/V Checker totally off</t>
  </si>
  <si>
    <t>Material changes from different suppliers due to problems such as changing material colors</t>
  </si>
  <si>
    <t>find different material sizes</t>
  </si>
  <si>
    <t>Unusually happened for material color
Found material size too short or too long</t>
  </si>
  <si>
    <t>Welding</t>
  </si>
  <si>
    <t>On training (to follow schedule)</t>
  </si>
  <si>
    <t>Sudden leave</t>
  </si>
  <si>
    <t>MC (sick leave)</t>
  </si>
  <si>
    <t>New machine /  turn over</t>
  </si>
  <si>
    <t>repair</t>
  </si>
  <si>
    <t>merger</t>
  </si>
  <si>
    <t>Crossing</t>
  </si>
  <si>
    <t>Detachment</t>
  </si>
  <si>
    <t>Timing out</t>
  </si>
  <si>
    <t>Part feeder fault</t>
  </si>
  <si>
    <t>Chain broken</t>
  </si>
  <si>
    <t>Taping jammed</t>
  </si>
  <si>
    <t>Carrier disc wear &amp; tear</t>
  </si>
  <si>
    <t>Wire off centre</t>
  </si>
  <si>
    <t>Welding burr</t>
  </si>
  <si>
    <t>Wire bend</t>
  </si>
  <si>
    <t>Wire expose</t>
  </si>
  <si>
    <t>Change wire chuck</t>
  </si>
  <si>
    <t>change length wire</t>
  </si>
  <si>
    <t>change wire</t>
  </si>
  <si>
    <t>Change forming model</t>
  </si>
  <si>
    <t>Service wire chuck</t>
  </si>
  <si>
    <t>Changes to the inspection program</t>
  </si>
  <si>
    <t>Pulling Jig Error</t>
  </si>
  <si>
    <t>Finishing</t>
  </si>
  <si>
    <t>ERQ</t>
  </si>
  <si>
    <t>AN type</t>
  </si>
  <si>
    <t>Chain jammed</t>
  </si>
  <si>
    <t>printing defect</t>
  </si>
  <si>
    <t>Coating defect</t>
  </si>
  <si>
    <t xml:space="preserve">crossing </t>
  </si>
  <si>
    <t>wire bend</t>
  </si>
  <si>
    <t>color code defect</t>
  </si>
  <si>
    <t>change conveyor chain</t>
  </si>
  <si>
    <t>change coating pump</t>
  </si>
  <si>
    <t>Setting coating speed belt.</t>
  </si>
  <si>
    <t>UV oven voltage out of range</t>
  </si>
  <si>
    <t>SPC out of control</t>
  </si>
  <si>
    <t>Equipment loose</t>
  </si>
  <si>
    <t>Wrong Material</t>
  </si>
  <si>
    <t>Wrong Part</t>
  </si>
  <si>
    <t>Wrong Label</t>
  </si>
  <si>
    <t>Material Mixture</t>
  </si>
  <si>
    <t>Heater Problem</t>
  </si>
  <si>
    <t>Motor Jammed</t>
  </si>
  <si>
    <t>Lead paint crack</t>
  </si>
  <si>
    <t>Tape open</t>
  </si>
  <si>
    <t xml:space="preserve">Substitution of equipment / components / jig. </t>
  </si>
  <si>
    <t xml:space="preserve">Repair of equipment / components / jig. </t>
  </si>
  <si>
    <t>Changes to the inspection program.</t>
  </si>
  <si>
    <t>Equipment error out of spec</t>
  </si>
  <si>
    <t xml:space="preserve">Equipment spoil </t>
  </si>
  <si>
    <t>Equipment wear &amp; tear</t>
  </si>
  <si>
    <t>find different material sizes.</t>
  </si>
  <si>
    <t xml:space="preserve">Wrong Materia, </t>
  </si>
  <si>
    <t>Forming</t>
  </si>
  <si>
    <t xml:space="preserve"> repair</t>
  </si>
  <si>
    <t>Sensor broken</t>
  </si>
  <si>
    <t>MC jammed</t>
  </si>
  <si>
    <t>Temperature error</t>
  </si>
  <si>
    <t>Tape broken</t>
  </si>
  <si>
    <t>Setting wire length</t>
  </si>
  <si>
    <t>Indication</t>
  </si>
  <si>
    <t>Sensor not function</t>
  </si>
  <si>
    <t>-</t>
  </si>
  <si>
    <t>Nothing</t>
  </si>
  <si>
    <t>Change forming only for 2SJSV (0R00) Changes</t>
  </si>
  <si>
    <t>asdsa</t>
  </si>
  <si>
    <t>Scrap / Reject</t>
  </si>
  <si>
    <t>UNPLAN</t>
  </si>
  <si>
    <t>A</t>
  </si>
  <si>
    <t>dsadsad</t>
  </si>
  <si>
    <t>sadsa</t>
  </si>
  <si>
    <t>asdsad</t>
  </si>
  <si>
    <t>asda</t>
  </si>
  <si>
    <t>B</t>
  </si>
  <si>
    <t>adsadsa</t>
  </si>
  <si>
    <t>asdadsa</t>
  </si>
  <si>
    <t>YES</t>
  </si>
  <si>
    <t>On Hold</t>
  </si>
  <si>
    <t>model</t>
  </si>
  <si>
    <t>part</t>
  </si>
  <si>
    <t>machinename</t>
  </si>
  <si>
    <t>lot</t>
  </si>
  <si>
    <t>FINISHING</t>
  </si>
  <si>
    <t>pro</t>
  </si>
  <si>
    <t>changee</t>
  </si>
  <si>
    <t>NO</t>
  </si>
  <si>
    <t>PLAN</t>
  </si>
  <si>
    <t>OK</t>
  </si>
  <si>
    <t>asdasd</t>
  </si>
  <si>
    <t>dsad</t>
  </si>
  <si>
    <t>dsaadsa</t>
  </si>
  <si>
    <t>sadsad</t>
  </si>
  <si>
    <t>WELDING</t>
  </si>
  <si>
    <t>asdsadsad</t>
  </si>
  <si>
    <t>sfd</t>
  </si>
  <si>
    <t>dsf</t>
  </si>
  <si>
    <t>sdf</t>
  </si>
  <si>
    <t>fsd</t>
  </si>
  <si>
    <t>SFD</t>
  </si>
  <si>
    <t>APPEARANCE</t>
  </si>
  <si>
    <t>asdv</t>
  </si>
  <si>
    <t>plan</t>
  </si>
  <si>
    <t>actual</t>
  </si>
  <si>
    <t>Sorting</t>
  </si>
  <si>
    <t>Actual</t>
  </si>
  <si>
    <t>Reason</t>
  </si>
  <si>
    <t>Condition For Release</t>
  </si>
  <si>
    <t>Continue</t>
  </si>
  <si>
    <t>hkv</t>
  </si>
  <si>
    <t>adcsdqqq</t>
  </si>
  <si>
    <t>qqqsssw</t>
  </si>
  <si>
    <t>reaarea</t>
  </si>
  <si>
    <t>Model Type</t>
  </si>
  <si>
    <t>process no</t>
  </si>
  <si>
    <t>This is treatment</t>
  </si>
  <si>
    <t>ok</t>
  </si>
  <si>
    <t>Unusually happened for material color_x000D_
Found material size too short or too long</t>
  </si>
  <si>
    <t>Unusually happened for material color Found material size too short or too long</t>
  </si>
  <si>
    <t>tpm done</t>
  </si>
  <si>
    <t>20, 45, 2.25</t>
  </si>
  <si>
    <t>asd</t>
  </si>
  <si>
    <t>adasd</t>
  </si>
  <si>
    <t>sdfsf</t>
  </si>
  <si>
    <t>SDFSD</t>
  </si>
  <si>
    <t>SFSDF</t>
  </si>
  <si>
    <t>SDF</t>
  </si>
  <si>
    <t>dgdgf</t>
  </si>
  <si>
    <t>reaso</t>
  </si>
  <si>
    <t>20, 10, 50</t>
  </si>
  <si>
    <t>Product goods</t>
  </si>
  <si>
    <t>treatment</t>
  </si>
  <si>
    <t>sakdbkjsa</t>
  </si>
  <si>
    <t>adalkdksnal</t>
  </si>
  <si>
    <t>kjabdasd</t>
  </si>
  <si>
    <t>asjkdskakdsad</t>
  </si>
  <si>
    <t>ksadsad</t>
  </si>
  <si>
    <t>aksasadsbal</t>
  </si>
  <si>
    <t>asdsasdad</t>
  </si>
  <si>
    <t>sasadasd</t>
  </si>
  <si>
    <t>Result           (n, r, p)</t>
  </si>
  <si>
    <t>Change   content</t>
  </si>
  <si>
    <t>Product     Safety</t>
  </si>
  <si>
    <t>ppp</t>
  </si>
  <si>
    <t>Appearance</t>
  </si>
  <si>
    <t>FORMING</t>
  </si>
  <si>
    <t>fhfgh</t>
  </si>
  <si>
    <t>fghh</t>
  </si>
  <si>
    <t>45, 6, 13.33</t>
  </si>
  <si>
    <t>l;'l</t>
  </si>
  <si>
    <t>l;'</t>
  </si>
  <si>
    <t>l'l;'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</si>
</sst>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mmmm\ /\ 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</cellStyleXfs>
  <cellXfs count="97">
    <xf numFmtId="0" fontId="0" fillId="0" borderId="0" xfId="0"/>
    <xf numFmtId="0" fontId="3" fillId="0" borderId="1" xfId="0" applyFont="1" applyBorder="1" applyAlignment="1">
      <alignment horizontal="left" vertical="center"/>
    </xf>
    <xf numFmtId="164" fontId="3" fillId="0" borderId="1" xfId="0" quotePrefix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/>
    </xf>
    <xf numFmtId="14" fontId="0" fillId="2" borderId="1" xfId="1" applyNumberFormat="1" applyFont="1" applyBorder="1" applyAlignment="1">
      <alignment horizontal="center" vertical="center"/>
    </xf>
    <xf numFmtId="0" fontId="1" fillId="2" borderId="1" xfId="1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4" fillId="0" borderId="0" xfId="0" applyFont="1" applyAlignment="1"/>
    <xf numFmtId="15" fontId="0" fillId="0" borderId="0" xfId="0" applyNumberFormat="1"/>
    <xf numFmtId="21" fontId="0" fillId="0" borderId="0" xfId="0" applyNumberFormat="1"/>
    <xf numFmtId="0" fontId="3" fillId="5" borderId="1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3" fillId="5" borderId="6" xfId="0" applyFont="1" applyFill="1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9" xfId="0" applyBorder="1" applyAlignment="1">
      <alignment wrapText="1"/>
    </xf>
    <xf numFmtId="0" fontId="0" fillId="0" borderId="1" xfId="0" applyBorder="1" applyAlignment="1"/>
    <xf numFmtId="0" fontId="0" fillId="0" borderId="10" xfId="0" applyBorder="1" applyAlignment="1">
      <alignment wrapText="1"/>
    </xf>
    <xf numFmtId="0" fontId="0" fillId="0" borderId="5" xfId="0" applyBorder="1"/>
    <xf numFmtId="0" fontId="0" fillId="0" borderId="12" xfId="0" applyBorder="1"/>
    <xf numFmtId="0" fontId="0" fillId="0" borderId="6" xfId="0" applyBorder="1" applyAlignment="1"/>
    <xf numFmtId="0" fontId="0" fillId="0" borderId="9" xfId="0" applyBorder="1" applyAlignment="1">
      <alignment horizontal="fill" wrapText="1"/>
    </xf>
    <xf numFmtId="0" fontId="0" fillId="0" borderId="10" xfId="0" applyBorder="1" applyAlignment="1">
      <alignment horizontal="fill" wrapText="1"/>
    </xf>
    <xf numFmtId="0" fontId="0" fillId="0" borderId="10" xfId="0" applyFill="1" applyBorder="1" applyAlignment="1">
      <alignment horizontal="fill" wrapText="1"/>
    </xf>
    <xf numFmtId="0" fontId="0" fillId="0" borderId="12" xfId="0" applyFill="1" applyBorder="1" applyAlignment="1">
      <alignment horizontal="fill" wrapText="1"/>
    </xf>
    <xf numFmtId="0" fontId="0" fillId="0" borderId="9" xfId="0" applyBorder="1" applyAlignment="1">
      <alignment horizontal="fill"/>
    </xf>
    <xf numFmtId="0" fontId="0" fillId="0" borderId="10" xfId="0" applyBorder="1" applyAlignment="1">
      <alignment horizontal="fill"/>
    </xf>
    <xf numFmtId="0" fontId="0" fillId="0" borderId="12" xfId="0" applyBorder="1" applyAlignment="1">
      <alignment horizontal="fill"/>
    </xf>
    <xf numFmtId="0" fontId="0" fillId="0" borderId="10" xfId="0" quotePrefix="1" applyBorder="1" applyAlignment="1">
      <alignment horizontal="fill"/>
    </xf>
    <xf numFmtId="0" fontId="0" fillId="0" borderId="10" xfId="0" applyFill="1" applyBorder="1" applyAlignment="1">
      <alignment horizontal="fill"/>
    </xf>
    <xf numFmtId="0" fontId="0" fillId="0" borderId="12" xfId="0" applyFill="1" applyBorder="1" applyAlignment="1">
      <alignment horizontal="fill"/>
    </xf>
    <xf numFmtId="0" fontId="0" fillId="0" borderId="9" xfId="0" quotePrefix="1" applyBorder="1" applyAlignment="1">
      <alignment horizontal="fill"/>
    </xf>
    <xf numFmtId="0" fontId="0" fillId="0" borderId="4" xfId="0" applyBorder="1" applyAlignment="1">
      <alignment horizontal="fill"/>
    </xf>
    <xf numFmtId="0" fontId="0" fillId="0" borderId="0" xfId="0" applyAlignment="1">
      <alignment horizontal="fill"/>
    </xf>
    <xf numFmtId="0" fontId="0" fillId="0" borderId="10" xfId="0" applyBorder="1" applyAlignment="1">
      <alignment horizontal="justify"/>
    </xf>
    <xf numFmtId="0" fontId="0" fillId="0" borderId="10" xfId="0" quotePrefix="1" applyBorder="1" applyAlignment="1">
      <alignment horizontal="fill" vertical="justify"/>
    </xf>
    <xf numFmtId="0" fontId="0" fillId="0" borderId="10" xfId="0" applyBorder="1" applyAlignment="1">
      <alignment horizontal="fill" vertical="justify"/>
    </xf>
    <xf numFmtId="0" fontId="6" fillId="0" borderId="0" xfId="0" applyFont="1"/>
    <xf numFmtId="0" fontId="1" fillId="7" borderId="1" xfId="5" applyBorder="1"/>
    <xf numFmtId="0" fontId="0" fillId="0" borderId="0" xfId="0" applyAlignment="1">
      <alignment wrapText="1"/>
    </xf>
    <xf numFmtId="0" fontId="0" fillId="0" borderId="0" xfId="0" applyAlignment="1"/>
    <xf numFmtId="0" fontId="1" fillId="13" borderId="1" xfId="6" applyBorder="1"/>
    <xf numFmtId="0" fontId="1" fillId="14" borderId="1" xfId="7" applyBorder="1" applyAlignment="1">
      <alignment horizontal="center" vertical="center"/>
    </xf>
    <xf numFmtId="0" fontId="1" fillId="14" borderId="1" xfId="7" applyBorder="1" applyAlignment="1">
      <alignment horizontal="center" vertical="center" wrapText="1"/>
    </xf>
    <xf numFmtId="0" fontId="1" fillId="4" borderId="1" xfId="3" applyBorder="1" applyAlignment="1">
      <alignment horizontal="center" vertical="center" wrapText="1"/>
    </xf>
    <xf numFmtId="0" fontId="1" fillId="6" borderId="1" xfId="4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164" fontId="1" fillId="4" borderId="1" xfId="3" applyNumberFormat="1" applyBorder="1" applyAlignment="1">
      <alignment horizontal="center" vertical="center"/>
    </xf>
    <xf numFmtId="0" fontId="1" fillId="2" borderId="6" xfId="1" applyBorder="1" applyAlignment="1">
      <alignment vertical="center"/>
    </xf>
    <xf numFmtId="0" fontId="1" fillId="2" borderId="1" xfId="1" applyBorder="1" applyAlignment="1">
      <alignment vertical="center"/>
    </xf>
    <xf numFmtId="165" fontId="4" fillId="0" borderId="0" xfId="0" applyNumberFormat="1" applyFont="1"/>
    <xf numFmtId="14" fontId="0" fillId="0" borderId="0" xfId="0" applyNumberFormat="1" applyAlignment="1"/>
    <xf numFmtId="0" fontId="0" fillId="0" borderId="0" xfId="0" quotePrefix="1"/>
    <xf numFmtId="0" fontId="2" fillId="3" borderId="1" xfId="2" applyFont="1" applyBorder="1" applyAlignment="1">
      <alignment horizontal="center"/>
    </xf>
    <xf numFmtId="0" fontId="1" fillId="3" borderId="1" xfId="2" applyBorder="1" applyAlignment="1">
      <alignment horizontal="center"/>
    </xf>
    <xf numFmtId="0" fontId="2" fillId="3" borderId="2" xfId="2" applyFont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1" fillId="13" borderId="1" xfId="6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7" borderId="1" xfId="5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</cellXfs>
  <cellStyles count="8">
    <cellStyle name="20% - Accent2" xfId="1" builtinId="34"/>
    <cellStyle name="20% - Accent4" xfId="7" builtinId="42"/>
    <cellStyle name="40% - Accent1" xfId="3" builtinId="31"/>
    <cellStyle name="40% - Accent2" xfId="6" builtinId="35"/>
    <cellStyle name="60% - Accent2" xfId="2" builtinId="36"/>
    <cellStyle name="60% - Accent3" xfId="5" builtinId="40"/>
    <cellStyle name="60% - Accent5" xfId="4" builtinId="4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PoC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Status!$B$3:$B$3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E-41E1-BDF5-CE67E112E4A8}"/>
            </c:ext>
          </c:extLst>
        </c:ser>
        <c:ser>
          <c:idx val="1"/>
          <c:order val="1"/>
          <c:tx>
            <c:strRef>
              <c:f>Status!$C$3:$C$3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Status!$C$4:$C$8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E-41E1-BDF5-CE67E11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axId val="768324032"/>
        <c:axId val="768323616"/>
      </c:barChart>
      <c:catAx>
        <c:axId val="76832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3616"/>
        <c:crosses val="autoZero"/>
        <c:auto val="1"/>
        <c:lblAlgn val="ctr"/>
        <c:lblOffset val="100"/>
        <c:noMultiLvlLbl val="0"/>
      </c:catAx>
      <c:valAx>
        <c:axId val="7683236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4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Spiralling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Status!$B$33:$B$37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3-4C83-A05E-100E455B1193}"/>
            </c:ext>
          </c:extLst>
        </c:ser>
        <c:ser>
          <c:idx val="1"/>
          <c:order val="1"/>
          <c:tx>
            <c:strRef>
              <c:f>Status!$C$32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Status!$C$33:$C$37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3-4C83-A05E-100E455B1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0640"/>
        <c:axId val="1213231472"/>
      </c:barChart>
      <c:catAx>
        <c:axId val="121323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1472"/>
        <c:crosses val="autoZero"/>
        <c:auto val="1"/>
        <c:lblAlgn val="ctr"/>
        <c:lblOffset val="100"/>
        <c:noMultiLvlLbl val="0"/>
      </c:catAx>
      <c:valAx>
        <c:axId val="121323147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Status!$B$59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Status!$B$60:$B$64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7-4514-8900-1B417F281169}"/>
            </c:ext>
          </c:extLst>
        </c:ser>
        <c:ser>
          <c:idx val="1"/>
          <c:order val="1"/>
          <c:tx>
            <c:strRef>
              <c:f>Status!$C$59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Status!$C$60:$C$64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7-4514-8900-1B417F28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2304"/>
        <c:axId val="1213230224"/>
      </c:barChart>
      <c:catAx>
        <c:axId val="121323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224"/>
        <c:crosses val="autoZero"/>
        <c:auto val="1"/>
        <c:lblAlgn val="ctr"/>
        <c:lblOffset val="100"/>
        <c:noMultiLvlLbl val="0"/>
      </c:catAx>
      <c:valAx>
        <c:axId val="121323022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2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Finshing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Status!$U$4:$U$8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7E-4115-9347-0A5D07B7FACA}"/>
            </c:ext>
          </c:extLst>
        </c:ser>
        <c:ser>
          <c:idx val="1"/>
          <c:order val="1"/>
          <c:tx>
            <c:strRef>
              <c:f>Status!$V$3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Status!$V$4:$V$8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7E-4115-9347-0A5D07B7F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6826144"/>
        <c:axId val="1966821568"/>
      </c:barChart>
      <c:catAx>
        <c:axId val="196682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1568"/>
        <c:crosses val="autoZero"/>
        <c:auto val="1"/>
        <c:lblAlgn val="ctr"/>
        <c:lblOffset val="100"/>
        <c:noMultiLvlLbl val="0"/>
      </c:catAx>
      <c:valAx>
        <c:axId val="1966821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61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Appearance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Status!$U$31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Status!$U$32:$U$36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5-4329-BCFC-33FC80C06619}"/>
            </c:ext>
          </c:extLst>
        </c:ser>
        <c:ser>
          <c:idx val="1"/>
          <c:order val="1"/>
          <c:tx>
            <c:strRef>
              <c:f>Status!$V$31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Status!$V$32:$V$36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5-4329-BCFC-33FC80C06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3417104"/>
        <c:axId val="753410864"/>
      </c:barChart>
      <c:catAx>
        <c:axId val="753417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0864"/>
        <c:crosses val="autoZero"/>
        <c:auto val="1"/>
        <c:lblAlgn val="ctr"/>
        <c:lblOffset val="100"/>
        <c:noMultiLvlLbl val="0"/>
      </c:catAx>
      <c:valAx>
        <c:axId val="75341086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7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Forming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Status!$U$61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Status!$U$62:$U$66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7-49E9-A905-7E2AF35B25B0}"/>
            </c:ext>
          </c:extLst>
        </c:ser>
        <c:ser>
          <c:idx val="1"/>
          <c:order val="1"/>
          <c:tx>
            <c:strRef>
              <c:f>Status!$V$61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Status!$V$62:$V$66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7-49E9-A905-7E2AF35B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4166431"/>
        <c:axId val="1394163103"/>
      </c:barChart>
      <c:catAx>
        <c:axId val="1394166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3103"/>
        <c:crosses val="autoZero"/>
        <c:auto val="1"/>
        <c:lblAlgn val="ctr"/>
        <c:lblOffset val="100"/>
        <c:noMultiLvlLbl val="0"/>
      </c:catAx>
      <c:valAx>
        <c:axId val="1394163103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64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171450</xdr:rowOff>
        </xdr:from>
        <xdr:to>
          <xdr:col>9</xdr:col>
          <xdr:colOff>381000</xdr:colOff>
          <xdr:row>10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8</xdr:col>
          <xdr:colOff>600075</xdr:colOff>
          <xdr:row>13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9</xdr:row>
          <xdr:rowOff>180975</xdr:rowOff>
        </xdr:from>
        <xdr:to>
          <xdr:col>12</xdr:col>
          <xdr:colOff>257175</xdr:colOff>
          <xdr:row>14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15</xdr:row>
          <xdr:rowOff>66675</xdr:rowOff>
        </xdr:from>
        <xdr:to>
          <xdr:col>12</xdr:col>
          <xdr:colOff>257175</xdr:colOff>
          <xdr:row>17</xdr:row>
          <xdr:rowOff>638175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</xdr:row>
      <xdr:rowOff>34697</xdr:rowOff>
    </xdr:from>
    <xdr:to>
      <xdr:col>17</xdr:col>
      <xdr:colOff>563494</xdr:colOff>
      <xdr:row>29</xdr:row>
      <xdr:rowOff>187097</xdr:rowOff>
    </xdr:to>
    <xdr:graphicFrame macro="">
      <xdr:nvGraphicFramePr>
        <xdr:cNvPr id="5" name="Tota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512108</xdr:colOff>
      <xdr:row>33</xdr:row>
      <xdr:rowOff>43703</xdr:rowOff>
    </xdr:from>
    <xdr:to>
      <xdr:col>18</xdr:col>
      <xdr:colOff>18327</xdr:colOff>
      <xdr:row>62</xdr:row>
      <xdr:rowOff>5603</xdr:rowOff>
    </xdr:to>
    <xdr:graphicFrame macro="">
      <xdr:nvGraphicFramePr>
        <xdr:cNvPr id="2" name="Spiralli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561412</xdr:colOff>
      <xdr:row>65</xdr:row>
      <xdr:rowOff>12326</xdr:rowOff>
    </xdr:from>
    <xdr:to>
      <xdr:col>18</xdr:col>
      <xdr:colOff>67631</xdr:colOff>
      <xdr:row>93</xdr:row>
      <xdr:rowOff>164726</xdr:rowOff>
    </xdr:to>
    <xdr:graphicFrame macro="">
      <xdr:nvGraphicFramePr>
        <xdr:cNvPr id="3" name="Weld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570378</xdr:colOff>
      <xdr:row>1</xdr:row>
      <xdr:rowOff>39221</xdr:rowOff>
    </xdr:from>
    <xdr:to>
      <xdr:col>37</xdr:col>
      <xdr:colOff>76597</xdr:colOff>
      <xdr:row>30</xdr:row>
      <xdr:rowOff>1121</xdr:rowOff>
    </xdr:to>
    <xdr:graphicFrame macro="">
      <xdr:nvGraphicFramePr>
        <xdr:cNvPr id="4" name="Finish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565895</xdr:colOff>
      <xdr:row>32</xdr:row>
      <xdr:rowOff>151280</xdr:rowOff>
    </xdr:from>
    <xdr:to>
      <xdr:col>37</xdr:col>
      <xdr:colOff>72114</xdr:colOff>
      <xdr:row>61</xdr:row>
      <xdr:rowOff>113180</xdr:rowOff>
    </xdr:to>
    <xdr:graphicFrame macro="">
      <xdr:nvGraphicFramePr>
        <xdr:cNvPr id="6" name="Appearanc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588306</xdr:colOff>
      <xdr:row>64</xdr:row>
      <xdr:rowOff>108697</xdr:rowOff>
    </xdr:from>
    <xdr:to>
      <xdr:col>37</xdr:col>
      <xdr:colOff>94525</xdr:colOff>
      <xdr:row>93</xdr:row>
      <xdr:rowOff>70597</xdr:rowOff>
    </xdr:to>
    <xdr:graphicFrame macro="">
      <xdr:nvGraphicFramePr>
        <xdr:cNvPr id="7" name="Formi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3B81-B8FD-4B0D-955F-C62425C2E53C}">
  <sheetPr codeName="Sheet1"/>
  <dimension ref="B2:K197"/>
  <sheetViews>
    <sheetView tabSelected="1" zoomScaleNormal="100" workbookViewId="0">
      <selection activeCell="I23" sqref="I23"/>
    </sheetView>
  </sheetViews>
  <sheetFormatPr defaultRowHeight="15" x14ac:dyDescent="0.25"/>
  <cols>
    <col min="2" max="2" width="28.5703125" bestFit="1" customWidth="1"/>
    <col min="3" max="3" width="11.140625" customWidth="1"/>
    <col min="5" max="5" width="35.7109375" bestFit="1" customWidth="1"/>
    <col min="6" max="6" width="9.140625" customWidth="1"/>
    <col min="11" max="11" width="20.5703125" bestFit="1" customWidth="1"/>
  </cols>
  <sheetData>
    <row r="2" spans="2:6" x14ac:dyDescent="0.25">
      <c r="B2" s="70" t="s">
        <v>18</v>
      </c>
      <c r="C2" s="71"/>
      <c r="E2" s="72" t="s">
        <v>198</v>
      </c>
      <c r="F2" s="73"/>
    </row>
    <row r="3" spans="2:6" x14ac:dyDescent="0.25">
      <c r="B3" s="5" t="s">
        <v>16</v>
      </c>
      <c r="C3" s="5" t="s">
        <v>17</v>
      </c>
      <c r="E3" s="6" t="s">
        <v>16</v>
      </c>
      <c r="F3" s="7" t="s">
        <v>17</v>
      </c>
    </row>
    <row r="4" spans="2:6" ht="15.75" x14ac:dyDescent="0.25">
      <c r="B4" s="1" t="s">
        <v>0</v>
      </c>
      <c r="C4" s="2">
        <v>2103</v>
      </c>
      <c r="E4" s="3" t="s">
        <v>19</v>
      </c>
      <c r="F4" s="8">
        <v>938935</v>
      </c>
    </row>
    <row r="5" spans="2:6" ht="15.75" x14ac:dyDescent="0.25">
      <c r="B5" s="1" t="s">
        <v>1</v>
      </c>
      <c r="C5" s="2">
        <v>931678</v>
      </c>
      <c r="E5" s="3" t="s">
        <v>20</v>
      </c>
      <c r="F5" s="9">
        <v>940358</v>
      </c>
    </row>
    <row r="6" spans="2:6" x14ac:dyDescent="0.25">
      <c r="B6" s="3" t="s">
        <v>2</v>
      </c>
      <c r="C6" s="4">
        <v>940770</v>
      </c>
      <c r="E6" s="3" t="s">
        <v>21</v>
      </c>
      <c r="F6" s="9">
        <v>940474</v>
      </c>
    </row>
    <row r="7" spans="2:6" x14ac:dyDescent="0.25">
      <c r="B7" s="3" t="s">
        <v>3</v>
      </c>
      <c r="C7" s="4">
        <v>402131</v>
      </c>
      <c r="E7" s="3" t="s">
        <v>22</v>
      </c>
      <c r="F7" s="9">
        <v>940476</v>
      </c>
    </row>
    <row r="8" spans="2:6" x14ac:dyDescent="0.25">
      <c r="B8" s="3" t="s">
        <v>4</v>
      </c>
      <c r="C8" s="4">
        <v>903069</v>
      </c>
      <c r="E8" s="3" t="s">
        <v>23</v>
      </c>
      <c r="F8" s="9">
        <v>939844</v>
      </c>
    </row>
    <row r="9" spans="2:6" x14ac:dyDescent="0.25">
      <c r="B9" s="3" t="s">
        <v>5</v>
      </c>
      <c r="C9" s="4">
        <v>917670</v>
      </c>
      <c r="E9" s="3" t="s">
        <v>24</v>
      </c>
      <c r="F9" s="9">
        <v>939848</v>
      </c>
    </row>
    <row r="10" spans="2:6" x14ac:dyDescent="0.25">
      <c r="B10" s="3" t="s">
        <v>6</v>
      </c>
      <c r="C10" s="4">
        <v>919041</v>
      </c>
      <c r="E10" s="3" t="s">
        <v>4</v>
      </c>
      <c r="F10" s="9">
        <v>903069</v>
      </c>
    </row>
    <row r="11" spans="2:6" x14ac:dyDescent="0.25">
      <c r="B11" s="3" t="s">
        <v>7</v>
      </c>
      <c r="C11" s="4">
        <v>919196</v>
      </c>
      <c r="E11" s="3" t="s">
        <v>5</v>
      </c>
      <c r="F11" s="9">
        <v>917670</v>
      </c>
    </row>
    <row r="12" spans="2:6" x14ac:dyDescent="0.25">
      <c r="B12" s="3" t="s">
        <v>8</v>
      </c>
      <c r="C12" s="4">
        <v>919078</v>
      </c>
      <c r="E12" s="3" t="s">
        <v>6</v>
      </c>
      <c r="F12" s="9">
        <v>919041</v>
      </c>
    </row>
    <row r="13" spans="2:6" x14ac:dyDescent="0.25">
      <c r="B13" s="3" t="s">
        <v>9</v>
      </c>
      <c r="C13" s="4">
        <v>907378</v>
      </c>
      <c r="E13" s="3" t="s">
        <v>25</v>
      </c>
      <c r="F13" s="9">
        <v>940711</v>
      </c>
    </row>
    <row r="14" spans="2:6" x14ac:dyDescent="0.25">
      <c r="B14" s="3" t="s">
        <v>10</v>
      </c>
      <c r="C14" s="4">
        <v>914910</v>
      </c>
      <c r="E14" s="3" t="s">
        <v>26</v>
      </c>
      <c r="F14" s="9">
        <v>923138</v>
      </c>
    </row>
    <row r="15" spans="2:6" x14ac:dyDescent="0.25">
      <c r="B15" s="3" t="s">
        <v>11</v>
      </c>
      <c r="C15" s="4">
        <v>2024</v>
      </c>
      <c r="E15" s="3" t="s">
        <v>27</v>
      </c>
      <c r="F15" s="9">
        <v>931618</v>
      </c>
    </row>
    <row r="16" spans="2:6" x14ac:dyDescent="0.25">
      <c r="B16" s="3" t="s">
        <v>12</v>
      </c>
      <c r="C16" s="4">
        <v>902290</v>
      </c>
      <c r="E16" s="3" t="s">
        <v>28</v>
      </c>
      <c r="F16" s="9">
        <v>936186</v>
      </c>
    </row>
    <row r="17" spans="2:6" x14ac:dyDescent="0.25">
      <c r="B17" s="3" t="s">
        <v>13</v>
      </c>
      <c r="C17" s="4">
        <v>925996</v>
      </c>
      <c r="E17" s="3" t="s">
        <v>29</v>
      </c>
      <c r="F17" s="9">
        <v>938937</v>
      </c>
    </row>
    <row r="18" spans="2:6" x14ac:dyDescent="0.25">
      <c r="E18" s="3" t="s">
        <v>30</v>
      </c>
      <c r="F18" s="9">
        <v>939508</v>
      </c>
    </row>
    <row r="19" spans="2:6" x14ac:dyDescent="0.25">
      <c r="E19" s="3" t="s">
        <v>31</v>
      </c>
      <c r="F19" s="9">
        <v>939509</v>
      </c>
    </row>
    <row r="20" spans="2:6" x14ac:dyDescent="0.25">
      <c r="E20" s="3" t="s">
        <v>32</v>
      </c>
      <c r="F20" s="9">
        <v>939742</v>
      </c>
    </row>
    <row r="21" spans="2:6" x14ac:dyDescent="0.25">
      <c r="E21" s="3" t="s">
        <v>33</v>
      </c>
      <c r="F21" s="9">
        <v>940169</v>
      </c>
    </row>
    <row r="22" spans="2:6" x14ac:dyDescent="0.25">
      <c r="E22" s="3" t="s">
        <v>34</v>
      </c>
      <c r="F22" s="9">
        <v>940274</v>
      </c>
    </row>
    <row r="23" spans="2:6" x14ac:dyDescent="0.25">
      <c r="E23" s="3" t="s">
        <v>35</v>
      </c>
      <c r="F23" s="9">
        <v>940278</v>
      </c>
    </row>
    <row r="24" spans="2:6" x14ac:dyDescent="0.25">
      <c r="E24" s="3" t="s">
        <v>36</v>
      </c>
      <c r="F24" s="9">
        <v>940621</v>
      </c>
    </row>
    <row r="25" spans="2:6" x14ac:dyDescent="0.25">
      <c r="E25" s="3" t="s">
        <v>37</v>
      </c>
      <c r="F25" s="9">
        <v>940705</v>
      </c>
    </row>
    <row r="26" spans="2:6" x14ac:dyDescent="0.25">
      <c r="E26" s="3" t="s">
        <v>38</v>
      </c>
      <c r="F26" s="9">
        <v>907628</v>
      </c>
    </row>
    <row r="27" spans="2:6" x14ac:dyDescent="0.25">
      <c r="E27" s="3" t="s">
        <v>39</v>
      </c>
      <c r="F27" s="9">
        <v>912812</v>
      </c>
    </row>
    <row r="28" spans="2:6" x14ac:dyDescent="0.25">
      <c r="E28" s="3" t="s">
        <v>40</v>
      </c>
      <c r="F28" s="9">
        <v>935566</v>
      </c>
    </row>
    <row r="29" spans="2:6" x14ac:dyDescent="0.25">
      <c r="E29" s="3" t="s">
        <v>41</v>
      </c>
      <c r="F29" s="9">
        <v>938515</v>
      </c>
    </row>
    <row r="30" spans="2:6" x14ac:dyDescent="0.25">
      <c r="E30" s="3" t="s">
        <v>42</v>
      </c>
      <c r="F30" s="9">
        <v>939510</v>
      </c>
    </row>
    <row r="31" spans="2:6" x14ac:dyDescent="0.25">
      <c r="E31" s="3" t="s">
        <v>43</v>
      </c>
      <c r="F31" s="9">
        <v>939741</v>
      </c>
    </row>
    <row r="32" spans="2:6" x14ac:dyDescent="0.25">
      <c r="E32" s="3" t="s">
        <v>44</v>
      </c>
      <c r="F32" s="9">
        <v>939920</v>
      </c>
    </row>
    <row r="33" spans="5:11" x14ac:dyDescent="0.25">
      <c r="E33" s="3" t="s">
        <v>45</v>
      </c>
      <c r="F33" s="9">
        <v>940275</v>
      </c>
    </row>
    <row r="34" spans="5:11" x14ac:dyDescent="0.25">
      <c r="E34" s="3" t="s">
        <v>46</v>
      </c>
      <c r="F34" s="9">
        <v>940406</v>
      </c>
    </row>
    <row r="35" spans="5:11" x14ac:dyDescent="0.25">
      <c r="E35" s="3" t="s">
        <v>47</v>
      </c>
      <c r="F35" s="9">
        <v>940632</v>
      </c>
    </row>
    <row r="36" spans="5:11" x14ac:dyDescent="0.25">
      <c r="E36" s="3" t="s">
        <v>48</v>
      </c>
      <c r="F36" s="9">
        <v>940712</v>
      </c>
    </row>
    <row r="37" spans="5:11" x14ac:dyDescent="0.25">
      <c r="E37" s="3" t="s">
        <v>49</v>
      </c>
      <c r="F37" s="9">
        <v>940029</v>
      </c>
    </row>
    <row r="38" spans="5:11" x14ac:dyDescent="0.25">
      <c r="E38" s="3" t="s">
        <v>50</v>
      </c>
      <c r="F38" s="9">
        <v>940721</v>
      </c>
    </row>
    <row r="39" spans="5:11" x14ac:dyDescent="0.25">
      <c r="E39" s="3" t="s">
        <v>51</v>
      </c>
      <c r="F39" s="9">
        <v>940170</v>
      </c>
    </row>
    <row r="40" spans="5:11" x14ac:dyDescent="0.25">
      <c r="E40" s="3" t="s">
        <v>52</v>
      </c>
      <c r="F40" s="9">
        <v>940612</v>
      </c>
    </row>
    <row r="41" spans="5:11" x14ac:dyDescent="0.25">
      <c r="E41" s="3" t="s">
        <v>53</v>
      </c>
      <c r="F41" s="9">
        <v>939463</v>
      </c>
    </row>
    <row r="42" spans="5:11" x14ac:dyDescent="0.25">
      <c r="E42" s="3" t="s">
        <v>54</v>
      </c>
      <c r="F42" s="9">
        <v>940363</v>
      </c>
    </row>
    <row r="43" spans="5:11" ht="15.75" x14ac:dyDescent="0.25">
      <c r="E43" s="3" t="s">
        <v>11</v>
      </c>
      <c r="F43" s="8" t="s">
        <v>15</v>
      </c>
      <c r="K43" s="15" t="s">
        <v>214</v>
      </c>
    </row>
    <row r="44" spans="5:11" ht="15.75" x14ac:dyDescent="0.25">
      <c r="E44" s="3" t="s">
        <v>1</v>
      </c>
      <c r="F44" s="9">
        <v>931678</v>
      </c>
      <c r="K44" s="16">
        <v>100</v>
      </c>
    </row>
    <row r="45" spans="5:11" ht="15.75" x14ac:dyDescent="0.25">
      <c r="E45" s="3" t="s">
        <v>3</v>
      </c>
      <c r="F45" s="9">
        <v>402131</v>
      </c>
      <c r="K45" s="17"/>
    </row>
    <row r="46" spans="5:11" ht="15.75" x14ac:dyDescent="0.25">
      <c r="E46" s="3" t="s">
        <v>55</v>
      </c>
      <c r="F46" s="9">
        <v>939927</v>
      </c>
      <c r="K46" s="25" t="s">
        <v>215</v>
      </c>
    </row>
    <row r="47" spans="5:11" x14ac:dyDescent="0.25">
      <c r="E47" s="3" t="s">
        <v>56</v>
      </c>
      <c r="F47" s="9">
        <v>940709</v>
      </c>
      <c r="K47" s="26"/>
    </row>
    <row r="48" spans="5:11" x14ac:dyDescent="0.25">
      <c r="E48" s="3" t="s">
        <v>57</v>
      </c>
      <c r="F48" s="9">
        <v>939925</v>
      </c>
      <c r="K48" s="27"/>
    </row>
    <row r="49" spans="5:11" x14ac:dyDescent="0.25">
      <c r="E49" s="3" t="s">
        <v>58</v>
      </c>
      <c r="F49" s="9">
        <v>940357</v>
      </c>
      <c r="K49" s="28"/>
    </row>
    <row r="50" spans="5:11" ht="15.75" x14ac:dyDescent="0.25">
      <c r="E50" s="3" t="s">
        <v>59</v>
      </c>
      <c r="F50" s="9">
        <v>920687</v>
      </c>
      <c r="K50" s="18" t="s">
        <v>228</v>
      </c>
    </row>
    <row r="51" spans="5:11" x14ac:dyDescent="0.25">
      <c r="E51" s="3" t="s">
        <v>60</v>
      </c>
      <c r="F51" s="9">
        <v>938934</v>
      </c>
    </row>
    <row r="52" spans="5:11" x14ac:dyDescent="0.25">
      <c r="E52" s="3" t="s">
        <v>61</v>
      </c>
      <c r="F52" s="9">
        <v>938939</v>
      </c>
    </row>
    <row r="53" spans="5:11" x14ac:dyDescent="0.25">
      <c r="E53" s="3" t="s">
        <v>62</v>
      </c>
      <c r="F53" s="9">
        <v>938940</v>
      </c>
    </row>
    <row r="54" spans="5:11" x14ac:dyDescent="0.25">
      <c r="E54" s="3" t="s">
        <v>63</v>
      </c>
      <c r="F54" s="9">
        <v>940622</v>
      </c>
    </row>
    <row r="55" spans="5:11" x14ac:dyDescent="0.25">
      <c r="E55" s="3" t="s">
        <v>64</v>
      </c>
      <c r="F55" s="9">
        <v>940703</v>
      </c>
    </row>
    <row r="56" spans="5:11" x14ac:dyDescent="0.25">
      <c r="E56" s="3" t="s">
        <v>65</v>
      </c>
      <c r="F56" s="9">
        <v>921949</v>
      </c>
    </row>
    <row r="57" spans="5:11" x14ac:dyDescent="0.25">
      <c r="E57" s="3" t="s">
        <v>66</v>
      </c>
      <c r="F57" s="9">
        <v>923869</v>
      </c>
    </row>
    <row r="58" spans="5:11" x14ac:dyDescent="0.25">
      <c r="E58" s="3" t="s">
        <v>67</v>
      </c>
      <c r="F58" s="9">
        <v>938876</v>
      </c>
    </row>
    <row r="59" spans="5:11" x14ac:dyDescent="0.25">
      <c r="E59" s="3" t="s">
        <v>68</v>
      </c>
      <c r="F59" s="9">
        <v>940036</v>
      </c>
    </row>
    <row r="60" spans="5:11" x14ac:dyDescent="0.25">
      <c r="E60" s="3" t="s">
        <v>2</v>
      </c>
      <c r="F60" s="9">
        <v>940770</v>
      </c>
    </row>
    <row r="61" spans="5:11" x14ac:dyDescent="0.25">
      <c r="E61" s="3" t="s">
        <v>69</v>
      </c>
      <c r="F61" s="9">
        <v>940617</v>
      </c>
    </row>
    <row r="62" spans="5:11" x14ac:dyDescent="0.25">
      <c r="E62" s="3" t="s">
        <v>70</v>
      </c>
      <c r="F62" s="9">
        <v>940710</v>
      </c>
    </row>
    <row r="63" spans="5:11" x14ac:dyDescent="0.25">
      <c r="E63" s="3" t="s">
        <v>71</v>
      </c>
      <c r="F63" s="9">
        <v>920274</v>
      </c>
    </row>
    <row r="64" spans="5:11" x14ac:dyDescent="0.25">
      <c r="E64" s="3" t="s">
        <v>72</v>
      </c>
      <c r="F64" s="9">
        <v>939168</v>
      </c>
    </row>
    <row r="65" spans="5:6" x14ac:dyDescent="0.25">
      <c r="E65" s="3" t="s">
        <v>73</v>
      </c>
      <c r="F65" s="9">
        <v>939703</v>
      </c>
    </row>
    <row r="66" spans="5:6" x14ac:dyDescent="0.25">
      <c r="E66" s="3" t="s">
        <v>74</v>
      </c>
      <c r="F66" s="9">
        <v>939748</v>
      </c>
    </row>
    <row r="67" spans="5:6" x14ac:dyDescent="0.25">
      <c r="E67" s="3" t="s">
        <v>75</v>
      </c>
      <c r="F67" s="9">
        <v>939909</v>
      </c>
    </row>
    <row r="68" spans="5:6" x14ac:dyDescent="0.25">
      <c r="E68" s="3" t="s">
        <v>76</v>
      </c>
      <c r="F68" s="9">
        <v>939930</v>
      </c>
    </row>
    <row r="69" spans="5:6" x14ac:dyDescent="0.25">
      <c r="E69" s="3" t="s">
        <v>77</v>
      </c>
      <c r="F69" s="9">
        <v>940038</v>
      </c>
    </row>
    <row r="70" spans="5:6" x14ac:dyDescent="0.25">
      <c r="E70" s="3" t="s">
        <v>78</v>
      </c>
      <c r="F70" s="9">
        <v>940067</v>
      </c>
    </row>
    <row r="71" spans="5:6" x14ac:dyDescent="0.25">
      <c r="E71" s="3" t="s">
        <v>79</v>
      </c>
      <c r="F71" s="9">
        <v>940116</v>
      </c>
    </row>
    <row r="72" spans="5:6" x14ac:dyDescent="0.25">
      <c r="E72" s="3" t="s">
        <v>80</v>
      </c>
      <c r="F72" s="9">
        <v>940475</v>
      </c>
    </row>
    <row r="73" spans="5:6" x14ac:dyDescent="0.25">
      <c r="E73" s="3" t="s">
        <v>81</v>
      </c>
      <c r="F73" s="9">
        <v>940623</v>
      </c>
    </row>
    <row r="74" spans="5:6" x14ac:dyDescent="0.25">
      <c r="E74" s="3" t="s">
        <v>82</v>
      </c>
      <c r="F74" s="9">
        <v>940704</v>
      </c>
    </row>
    <row r="75" spans="5:6" x14ac:dyDescent="0.25">
      <c r="E75" s="3" t="s">
        <v>83</v>
      </c>
      <c r="F75" s="9">
        <v>940706</v>
      </c>
    </row>
    <row r="76" spans="5:6" x14ac:dyDescent="0.25">
      <c r="E76" s="3" t="s">
        <v>84</v>
      </c>
      <c r="F76" s="9">
        <v>940707</v>
      </c>
    </row>
    <row r="77" spans="5:6" x14ac:dyDescent="0.25">
      <c r="E77" s="3" t="s">
        <v>85</v>
      </c>
      <c r="F77" s="9">
        <v>917248</v>
      </c>
    </row>
    <row r="78" spans="5:6" x14ac:dyDescent="0.25">
      <c r="E78" s="3" t="s">
        <v>86</v>
      </c>
      <c r="F78" s="9">
        <v>938936</v>
      </c>
    </row>
    <row r="79" spans="5:6" x14ac:dyDescent="0.25">
      <c r="E79" s="3" t="s">
        <v>87</v>
      </c>
      <c r="F79" s="9">
        <v>939743</v>
      </c>
    </row>
    <row r="80" spans="5:6" x14ac:dyDescent="0.25">
      <c r="E80" s="3" t="s">
        <v>88</v>
      </c>
      <c r="F80" s="9">
        <v>939745</v>
      </c>
    </row>
    <row r="81" spans="5:6" x14ac:dyDescent="0.25">
      <c r="E81" s="3" t="s">
        <v>89</v>
      </c>
      <c r="F81" s="9">
        <v>939747</v>
      </c>
    </row>
    <row r="82" spans="5:6" x14ac:dyDescent="0.25">
      <c r="E82" s="3" t="s">
        <v>90</v>
      </c>
      <c r="F82" s="9">
        <v>939815</v>
      </c>
    </row>
    <row r="83" spans="5:6" x14ac:dyDescent="0.25">
      <c r="E83" s="3" t="s">
        <v>91</v>
      </c>
      <c r="F83" s="9">
        <v>939908</v>
      </c>
    </row>
    <row r="84" spans="5:6" x14ac:dyDescent="0.25">
      <c r="E84" s="3" t="s">
        <v>92</v>
      </c>
      <c r="F84" s="9">
        <v>939929</v>
      </c>
    </row>
    <row r="85" spans="5:6" x14ac:dyDescent="0.25">
      <c r="E85" s="3" t="s">
        <v>93</v>
      </c>
      <c r="F85" s="9">
        <v>940026</v>
      </c>
    </row>
    <row r="86" spans="5:6" x14ac:dyDescent="0.25">
      <c r="E86" s="3" t="s">
        <v>94</v>
      </c>
      <c r="F86" s="9">
        <v>940040</v>
      </c>
    </row>
    <row r="87" spans="5:6" x14ac:dyDescent="0.25">
      <c r="E87" s="3" t="s">
        <v>95</v>
      </c>
      <c r="F87" s="9">
        <v>940246</v>
      </c>
    </row>
    <row r="88" spans="5:6" x14ac:dyDescent="0.25">
      <c r="E88" s="3" t="s">
        <v>96</v>
      </c>
      <c r="F88" s="9">
        <v>940353</v>
      </c>
    </row>
    <row r="89" spans="5:6" x14ac:dyDescent="0.25">
      <c r="E89" s="3" t="s">
        <v>97</v>
      </c>
      <c r="F89" s="8" t="s">
        <v>98</v>
      </c>
    </row>
    <row r="90" spans="5:6" x14ac:dyDescent="0.25">
      <c r="E90" s="3" t="s">
        <v>99</v>
      </c>
      <c r="F90" s="9">
        <v>915351</v>
      </c>
    </row>
    <row r="91" spans="5:6" x14ac:dyDescent="0.25">
      <c r="E91" s="3" t="s">
        <v>7</v>
      </c>
      <c r="F91" s="9">
        <v>919196</v>
      </c>
    </row>
    <row r="92" spans="5:6" x14ac:dyDescent="0.25">
      <c r="E92" s="3" t="s">
        <v>100</v>
      </c>
      <c r="F92" s="9">
        <v>939707</v>
      </c>
    </row>
    <row r="93" spans="5:6" x14ac:dyDescent="0.25">
      <c r="E93" s="3" t="s">
        <v>101</v>
      </c>
      <c r="F93" s="9">
        <v>940121</v>
      </c>
    </row>
    <row r="94" spans="5:6" x14ac:dyDescent="0.25">
      <c r="E94" s="3" t="s">
        <v>102</v>
      </c>
      <c r="F94" s="9">
        <v>940285</v>
      </c>
    </row>
    <row r="95" spans="5:6" x14ac:dyDescent="0.25">
      <c r="E95" s="3" t="s">
        <v>103</v>
      </c>
      <c r="F95" s="9">
        <v>940122</v>
      </c>
    </row>
    <row r="96" spans="5:6" x14ac:dyDescent="0.25">
      <c r="E96" s="3" t="s">
        <v>104</v>
      </c>
      <c r="F96" s="9">
        <v>940581</v>
      </c>
    </row>
    <row r="97" spans="5:6" x14ac:dyDescent="0.25">
      <c r="E97" s="3" t="s">
        <v>105</v>
      </c>
      <c r="F97" s="9">
        <v>940613</v>
      </c>
    </row>
    <row r="98" spans="5:6" x14ac:dyDescent="0.25">
      <c r="E98" s="3" t="s">
        <v>106</v>
      </c>
      <c r="F98" s="9">
        <v>939738</v>
      </c>
    </row>
    <row r="99" spans="5:6" x14ac:dyDescent="0.25">
      <c r="E99" s="3" t="s">
        <v>107</v>
      </c>
      <c r="F99" s="9">
        <v>939928</v>
      </c>
    </row>
    <row r="100" spans="5:6" x14ac:dyDescent="0.25">
      <c r="E100" s="3" t="s">
        <v>108</v>
      </c>
      <c r="F100" s="9">
        <v>940034</v>
      </c>
    </row>
    <row r="101" spans="5:6" x14ac:dyDescent="0.25">
      <c r="E101" s="3" t="s">
        <v>109</v>
      </c>
      <c r="F101" s="9">
        <v>916631</v>
      </c>
    </row>
    <row r="102" spans="5:6" x14ac:dyDescent="0.25">
      <c r="E102" s="3" t="s">
        <v>110</v>
      </c>
      <c r="F102" s="9">
        <v>917030</v>
      </c>
    </row>
    <row r="103" spans="5:6" x14ac:dyDescent="0.25">
      <c r="E103" s="3" t="s">
        <v>111</v>
      </c>
      <c r="F103" s="9">
        <v>932369</v>
      </c>
    </row>
    <row r="104" spans="5:6" x14ac:dyDescent="0.25">
      <c r="E104" s="3" t="s">
        <v>112</v>
      </c>
      <c r="F104" s="9">
        <v>936457</v>
      </c>
    </row>
    <row r="105" spans="5:6" x14ac:dyDescent="0.25">
      <c r="E105" s="3" t="s">
        <v>113</v>
      </c>
      <c r="F105" s="9">
        <v>938322</v>
      </c>
    </row>
    <row r="106" spans="5:6" x14ac:dyDescent="0.25">
      <c r="E106" s="3" t="s">
        <v>114</v>
      </c>
      <c r="F106" s="9">
        <v>939724</v>
      </c>
    </row>
    <row r="107" spans="5:6" x14ac:dyDescent="0.25">
      <c r="E107" s="3" t="s">
        <v>115</v>
      </c>
      <c r="F107" s="9">
        <v>940360</v>
      </c>
    </row>
    <row r="108" spans="5:6" x14ac:dyDescent="0.25">
      <c r="E108" s="3" t="s">
        <v>116</v>
      </c>
      <c r="F108" s="9">
        <v>940361</v>
      </c>
    </row>
    <row r="109" spans="5:6" x14ac:dyDescent="0.25">
      <c r="E109" s="3" t="s">
        <v>117</v>
      </c>
      <c r="F109" s="9">
        <v>940614</v>
      </c>
    </row>
    <row r="110" spans="5:6" x14ac:dyDescent="0.25">
      <c r="E110" s="3" t="s">
        <v>118</v>
      </c>
      <c r="F110" s="9">
        <v>940713</v>
      </c>
    </row>
    <row r="111" spans="5:6" x14ac:dyDescent="0.25">
      <c r="E111" s="3" t="s">
        <v>119</v>
      </c>
      <c r="F111" s="9">
        <v>940716</v>
      </c>
    </row>
    <row r="112" spans="5:6" x14ac:dyDescent="0.25">
      <c r="E112" s="3" t="s">
        <v>120</v>
      </c>
      <c r="F112" s="9">
        <v>940722</v>
      </c>
    </row>
    <row r="113" spans="5:6" x14ac:dyDescent="0.25">
      <c r="E113" s="3" t="s">
        <v>121</v>
      </c>
      <c r="F113" s="9">
        <v>915403</v>
      </c>
    </row>
    <row r="114" spans="5:6" x14ac:dyDescent="0.25">
      <c r="E114" s="3" t="s">
        <v>122</v>
      </c>
      <c r="F114" s="9">
        <v>917592</v>
      </c>
    </row>
    <row r="115" spans="5:6" x14ac:dyDescent="0.25">
      <c r="E115" s="3" t="s">
        <v>123</v>
      </c>
      <c r="F115" s="9">
        <v>933477</v>
      </c>
    </row>
    <row r="116" spans="5:6" x14ac:dyDescent="0.25">
      <c r="E116" s="3" t="s">
        <v>124</v>
      </c>
      <c r="F116" s="9">
        <v>939145</v>
      </c>
    </row>
    <row r="117" spans="5:6" x14ac:dyDescent="0.25">
      <c r="E117" s="3" t="s">
        <v>125</v>
      </c>
      <c r="F117" s="9">
        <v>940560</v>
      </c>
    </row>
    <row r="118" spans="5:6" x14ac:dyDescent="0.25">
      <c r="E118" s="3" t="s">
        <v>126</v>
      </c>
      <c r="F118" s="9">
        <v>940611</v>
      </c>
    </row>
    <row r="119" spans="5:6" x14ac:dyDescent="0.25">
      <c r="E119" s="3" t="s">
        <v>12</v>
      </c>
      <c r="F119" s="9">
        <v>902290</v>
      </c>
    </row>
    <row r="120" spans="5:6" x14ac:dyDescent="0.25">
      <c r="E120" s="3" t="s">
        <v>127</v>
      </c>
      <c r="F120" s="9">
        <v>939547</v>
      </c>
    </row>
    <row r="121" spans="5:6" x14ac:dyDescent="0.25">
      <c r="E121" s="3" t="s">
        <v>128</v>
      </c>
      <c r="F121" s="9">
        <v>940580</v>
      </c>
    </row>
    <row r="122" spans="5:6" x14ac:dyDescent="0.25">
      <c r="E122" s="3" t="s">
        <v>129</v>
      </c>
      <c r="F122" s="9">
        <v>939464</v>
      </c>
    </row>
    <row r="123" spans="5:6" x14ac:dyDescent="0.25">
      <c r="E123" s="3" t="s">
        <v>130</v>
      </c>
      <c r="F123" s="9">
        <v>914874</v>
      </c>
    </row>
    <row r="124" spans="5:6" x14ac:dyDescent="0.25">
      <c r="E124" s="3" t="s">
        <v>131</v>
      </c>
      <c r="F124" s="9">
        <v>916644</v>
      </c>
    </row>
    <row r="125" spans="5:6" x14ac:dyDescent="0.25">
      <c r="E125" s="3" t="s">
        <v>132</v>
      </c>
      <c r="F125" s="9">
        <v>938941</v>
      </c>
    </row>
    <row r="126" spans="5:6" x14ac:dyDescent="0.25">
      <c r="E126" s="3" t="s">
        <v>133</v>
      </c>
      <c r="F126" s="9">
        <v>940028</v>
      </c>
    </row>
    <row r="127" spans="5:6" x14ac:dyDescent="0.25">
      <c r="E127" s="3" t="s">
        <v>134</v>
      </c>
      <c r="F127" s="9">
        <v>940172</v>
      </c>
    </row>
    <row r="128" spans="5:6" x14ac:dyDescent="0.25">
      <c r="E128" s="3" t="s">
        <v>135</v>
      </c>
      <c r="F128" s="9">
        <v>940720</v>
      </c>
    </row>
    <row r="129" spans="5:6" x14ac:dyDescent="0.25">
      <c r="E129" s="3" t="s">
        <v>136</v>
      </c>
      <c r="F129" s="9">
        <v>914990</v>
      </c>
    </row>
    <row r="130" spans="5:6" x14ac:dyDescent="0.25">
      <c r="E130" s="3" t="s">
        <v>137</v>
      </c>
      <c r="F130" s="9">
        <v>916624</v>
      </c>
    </row>
    <row r="131" spans="5:6" x14ac:dyDescent="0.25">
      <c r="E131" s="3" t="s">
        <v>138</v>
      </c>
      <c r="F131" s="9">
        <v>939414</v>
      </c>
    </row>
    <row r="132" spans="5:6" x14ac:dyDescent="0.25">
      <c r="E132" s="3" t="s">
        <v>139</v>
      </c>
      <c r="F132" s="9">
        <v>940717</v>
      </c>
    </row>
    <row r="133" spans="5:6" x14ac:dyDescent="0.25">
      <c r="E133" s="3" t="s">
        <v>140</v>
      </c>
      <c r="F133" s="9">
        <v>940795</v>
      </c>
    </row>
    <row r="134" spans="5:6" x14ac:dyDescent="0.25">
      <c r="E134" s="3" t="s">
        <v>141</v>
      </c>
      <c r="F134" s="9">
        <v>905231</v>
      </c>
    </row>
    <row r="135" spans="5:6" x14ac:dyDescent="0.25">
      <c r="E135" s="3" t="s">
        <v>142</v>
      </c>
      <c r="F135" s="9">
        <v>914950</v>
      </c>
    </row>
    <row r="136" spans="5:6" x14ac:dyDescent="0.25">
      <c r="E136" s="3" t="s">
        <v>143</v>
      </c>
      <c r="F136" s="9">
        <v>939631</v>
      </c>
    </row>
    <row r="137" spans="5:6" x14ac:dyDescent="0.25">
      <c r="E137" s="3" t="s">
        <v>144</v>
      </c>
      <c r="F137" s="8" t="s">
        <v>145</v>
      </c>
    </row>
    <row r="138" spans="5:6" x14ac:dyDescent="0.25">
      <c r="E138" s="3" t="s">
        <v>146</v>
      </c>
      <c r="F138" s="9">
        <v>919077</v>
      </c>
    </row>
    <row r="139" spans="5:6" x14ac:dyDescent="0.25">
      <c r="E139" s="3" t="s">
        <v>147</v>
      </c>
      <c r="F139" s="9">
        <v>939677</v>
      </c>
    </row>
    <row r="140" spans="5:6" x14ac:dyDescent="0.25">
      <c r="E140" s="3" t="s">
        <v>148</v>
      </c>
      <c r="F140" s="9">
        <v>940771</v>
      </c>
    </row>
    <row r="141" spans="5:6" x14ac:dyDescent="0.25">
      <c r="E141" s="3" t="s">
        <v>149</v>
      </c>
      <c r="F141" s="9">
        <v>940772</v>
      </c>
    </row>
    <row r="142" spans="5:6" x14ac:dyDescent="0.25">
      <c r="E142" s="3" t="s">
        <v>150</v>
      </c>
      <c r="F142" s="9">
        <v>940815</v>
      </c>
    </row>
    <row r="143" spans="5:6" x14ac:dyDescent="0.25">
      <c r="E143" s="3" t="s">
        <v>151</v>
      </c>
      <c r="F143" s="9">
        <v>200144</v>
      </c>
    </row>
    <row r="144" spans="5:6" x14ac:dyDescent="0.25">
      <c r="E144" s="3" t="s">
        <v>152</v>
      </c>
      <c r="F144" s="9">
        <v>934925</v>
      </c>
    </row>
    <row r="145" spans="5:6" x14ac:dyDescent="0.25">
      <c r="E145" s="3" t="s">
        <v>153</v>
      </c>
      <c r="F145" s="9">
        <v>934931</v>
      </c>
    </row>
    <row r="146" spans="5:6" x14ac:dyDescent="0.25">
      <c r="E146" s="3" t="s">
        <v>0</v>
      </c>
      <c r="F146" s="8" t="s">
        <v>14</v>
      </c>
    </row>
    <row r="147" spans="5:6" x14ac:dyDescent="0.25">
      <c r="E147" s="3" t="s">
        <v>154</v>
      </c>
      <c r="F147" s="8" t="s">
        <v>155</v>
      </c>
    </row>
    <row r="148" spans="5:6" x14ac:dyDescent="0.25">
      <c r="E148" s="3" t="s">
        <v>8</v>
      </c>
      <c r="F148" s="9">
        <v>919078</v>
      </c>
    </row>
    <row r="149" spans="5:6" x14ac:dyDescent="0.25">
      <c r="E149" s="3" t="s">
        <v>156</v>
      </c>
      <c r="F149" s="9">
        <v>934928</v>
      </c>
    </row>
    <row r="150" spans="5:6" x14ac:dyDescent="0.25">
      <c r="E150" s="3" t="s">
        <v>157</v>
      </c>
      <c r="F150" s="9">
        <v>938793</v>
      </c>
    </row>
    <row r="151" spans="5:6" x14ac:dyDescent="0.25">
      <c r="E151" s="3" t="s">
        <v>158</v>
      </c>
      <c r="F151" s="9">
        <v>935411</v>
      </c>
    </row>
    <row r="152" spans="5:6" x14ac:dyDescent="0.25">
      <c r="E152" s="3" t="s">
        <v>159</v>
      </c>
      <c r="F152" s="9">
        <v>935485</v>
      </c>
    </row>
    <row r="153" spans="5:6" x14ac:dyDescent="0.25">
      <c r="E153" s="3" t="s">
        <v>160</v>
      </c>
      <c r="F153" s="9">
        <v>910418</v>
      </c>
    </row>
    <row r="154" spans="5:6" x14ac:dyDescent="0.25">
      <c r="E154" s="3" t="s">
        <v>161</v>
      </c>
      <c r="F154" s="9">
        <v>922708</v>
      </c>
    </row>
    <row r="155" spans="5:6" x14ac:dyDescent="0.25">
      <c r="E155" s="3" t="s">
        <v>162</v>
      </c>
      <c r="F155" s="9">
        <v>939550</v>
      </c>
    </row>
    <row r="156" spans="5:6" x14ac:dyDescent="0.25">
      <c r="E156" s="3" t="s">
        <v>163</v>
      </c>
      <c r="F156" s="9">
        <v>940472</v>
      </c>
    </row>
    <row r="157" spans="5:6" x14ac:dyDescent="0.25">
      <c r="E157" s="3" t="s">
        <v>164</v>
      </c>
      <c r="F157" s="9">
        <v>940619</v>
      </c>
    </row>
    <row r="158" spans="5:6" x14ac:dyDescent="0.25">
      <c r="E158" s="3" t="s">
        <v>165</v>
      </c>
      <c r="F158" s="9">
        <v>921963</v>
      </c>
    </row>
    <row r="159" spans="5:6" x14ac:dyDescent="0.25">
      <c r="E159" s="3" t="s">
        <v>166</v>
      </c>
      <c r="F159" s="9">
        <v>939749</v>
      </c>
    </row>
    <row r="160" spans="5:6" x14ac:dyDescent="0.25">
      <c r="E160" s="3" t="s">
        <v>167</v>
      </c>
      <c r="F160" s="9">
        <v>940039</v>
      </c>
    </row>
    <row r="161" spans="5:6" x14ac:dyDescent="0.25">
      <c r="E161" s="3" t="s">
        <v>168</v>
      </c>
      <c r="F161" s="9">
        <v>940582</v>
      </c>
    </row>
    <row r="162" spans="5:6" x14ac:dyDescent="0.25">
      <c r="E162" s="3" t="s">
        <v>169</v>
      </c>
      <c r="F162" s="9">
        <v>940708</v>
      </c>
    </row>
    <row r="163" spans="5:6" x14ac:dyDescent="0.25">
      <c r="E163" s="3" t="s">
        <v>170</v>
      </c>
      <c r="F163" s="9">
        <v>905916</v>
      </c>
    </row>
    <row r="164" spans="5:6" x14ac:dyDescent="0.25">
      <c r="E164" s="3" t="s">
        <v>171</v>
      </c>
      <c r="F164" s="9">
        <v>914435</v>
      </c>
    </row>
    <row r="165" spans="5:6" x14ac:dyDescent="0.25">
      <c r="E165" s="3" t="s">
        <v>13</v>
      </c>
      <c r="F165" s="9">
        <v>925996</v>
      </c>
    </row>
    <row r="166" spans="5:6" x14ac:dyDescent="0.25">
      <c r="E166" s="3" t="s">
        <v>172</v>
      </c>
      <c r="F166" s="9">
        <v>939626</v>
      </c>
    </row>
    <row r="167" spans="5:6" x14ac:dyDescent="0.25">
      <c r="E167" s="3" t="s">
        <v>173</v>
      </c>
      <c r="F167" s="9">
        <v>939997</v>
      </c>
    </row>
    <row r="168" spans="5:6" x14ac:dyDescent="0.25">
      <c r="E168" s="3" t="s">
        <v>174</v>
      </c>
      <c r="F168" s="9">
        <v>940814</v>
      </c>
    </row>
    <row r="169" spans="5:6" x14ac:dyDescent="0.25">
      <c r="E169" s="3" t="s">
        <v>175</v>
      </c>
      <c r="F169" s="9">
        <v>938942</v>
      </c>
    </row>
    <row r="170" spans="5:6" x14ac:dyDescent="0.25">
      <c r="E170" s="3" t="s">
        <v>176</v>
      </c>
      <c r="F170" s="9">
        <v>939686</v>
      </c>
    </row>
    <row r="171" spans="5:6" x14ac:dyDescent="0.25">
      <c r="E171" s="3" t="s">
        <v>10</v>
      </c>
      <c r="F171" s="9">
        <v>914910</v>
      </c>
    </row>
    <row r="172" spans="5:6" x14ac:dyDescent="0.25">
      <c r="E172" s="3" t="s">
        <v>177</v>
      </c>
      <c r="F172" s="9">
        <v>938990</v>
      </c>
    </row>
    <row r="173" spans="5:6" x14ac:dyDescent="0.25">
      <c r="E173" s="3" t="s">
        <v>178</v>
      </c>
      <c r="F173" s="9">
        <v>940035</v>
      </c>
    </row>
    <row r="174" spans="5:6" x14ac:dyDescent="0.25">
      <c r="E174" s="3" t="s">
        <v>179</v>
      </c>
      <c r="F174" s="9">
        <v>940284</v>
      </c>
    </row>
    <row r="175" spans="5:6" x14ac:dyDescent="0.25">
      <c r="E175" s="3" t="s">
        <v>180</v>
      </c>
      <c r="F175" s="9">
        <v>940628</v>
      </c>
    </row>
    <row r="176" spans="5:6" x14ac:dyDescent="0.25">
      <c r="E176" s="3" t="s">
        <v>181</v>
      </c>
      <c r="F176" s="9">
        <v>940719</v>
      </c>
    </row>
    <row r="177" spans="5:6" x14ac:dyDescent="0.25">
      <c r="E177" s="3" t="s">
        <v>9</v>
      </c>
      <c r="F177" s="9">
        <v>907378</v>
      </c>
    </row>
    <row r="178" spans="5:6" x14ac:dyDescent="0.25">
      <c r="E178" s="3" t="s">
        <v>182</v>
      </c>
      <c r="F178" s="9">
        <v>940718</v>
      </c>
    </row>
    <row r="179" spans="5:6" x14ac:dyDescent="0.25">
      <c r="E179" s="3" t="s">
        <v>183</v>
      </c>
      <c r="F179" s="9">
        <v>916973</v>
      </c>
    </row>
    <row r="180" spans="5:6" x14ac:dyDescent="0.25">
      <c r="E180" s="3" t="s">
        <v>184</v>
      </c>
      <c r="F180" s="9">
        <v>923090</v>
      </c>
    </row>
    <row r="181" spans="5:6" x14ac:dyDescent="0.25">
      <c r="E181" s="3" t="s">
        <v>185</v>
      </c>
      <c r="F181" s="9">
        <v>931886</v>
      </c>
    </row>
    <row r="182" spans="5:6" x14ac:dyDescent="0.25">
      <c r="E182" s="3" t="s">
        <v>186</v>
      </c>
      <c r="F182" s="9">
        <v>938945</v>
      </c>
    </row>
    <row r="183" spans="5:6" x14ac:dyDescent="0.25">
      <c r="E183" s="3" t="s">
        <v>187</v>
      </c>
      <c r="F183" s="9">
        <v>940068</v>
      </c>
    </row>
    <row r="184" spans="5:6" x14ac:dyDescent="0.25">
      <c r="E184" s="3" t="s">
        <v>188</v>
      </c>
      <c r="F184" s="9">
        <v>939706</v>
      </c>
    </row>
    <row r="185" spans="5:6" x14ac:dyDescent="0.25">
      <c r="E185" s="3" t="s">
        <v>189</v>
      </c>
      <c r="F185" s="9">
        <v>934409</v>
      </c>
    </row>
    <row r="186" spans="5:6" x14ac:dyDescent="0.25">
      <c r="E186" s="3" t="s">
        <v>190</v>
      </c>
      <c r="F186" s="9">
        <v>935449</v>
      </c>
    </row>
    <row r="187" spans="5:6" x14ac:dyDescent="0.25">
      <c r="E187" s="3" t="s">
        <v>191</v>
      </c>
      <c r="F187" s="9">
        <v>939548</v>
      </c>
    </row>
    <row r="188" spans="5:6" x14ac:dyDescent="0.25">
      <c r="E188" s="3" t="s">
        <v>192</v>
      </c>
      <c r="F188" s="9">
        <v>940404</v>
      </c>
    </row>
    <row r="189" spans="5:6" x14ac:dyDescent="0.25">
      <c r="E189" s="3" t="s">
        <v>193</v>
      </c>
      <c r="F189" s="9">
        <v>940615</v>
      </c>
    </row>
    <row r="190" spans="5:6" x14ac:dyDescent="0.25">
      <c r="E190" s="3" t="s">
        <v>194</v>
      </c>
      <c r="F190" s="9">
        <v>940793</v>
      </c>
    </row>
    <row r="191" spans="5:6" x14ac:dyDescent="0.25">
      <c r="E191" s="3" t="s">
        <v>195</v>
      </c>
      <c r="F191" s="9">
        <v>931140</v>
      </c>
    </row>
    <row r="192" spans="5:6" x14ac:dyDescent="0.25">
      <c r="E192" s="3" t="s">
        <v>196</v>
      </c>
      <c r="F192" s="9">
        <v>939465</v>
      </c>
    </row>
    <row r="193" spans="5:6" x14ac:dyDescent="0.25">
      <c r="E193" s="3" t="s">
        <v>197</v>
      </c>
      <c r="F193" s="9">
        <v>940715</v>
      </c>
    </row>
    <row r="194" spans="5:6" x14ac:dyDescent="0.25">
      <c r="E194" s="3" t="s">
        <v>10</v>
      </c>
      <c r="F194" s="9">
        <v>914910</v>
      </c>
    </row>
    <row r="195" spans="5:6" x14ac:dyDescent="0.25">
      <c r="E195" s="3" t="s">
        <v>11</v>
      </c>
      <c r="F195" s="9" t="s">
        <v>15</v>
      </c>
    </row>
    <row r="196" spans="5:6" x14ac:dyDescent="0.25">
      <c r="E196" s="3" t="s">
        <v>12</v>
      </c>
      <c r="F196" s="9">
        <v>902290</v>
      </c>
    </row>
    <row r="197" spans="5:6" x14ac:dyDescent="0.25">
      <c r="E197" s="3" t="s">
        <v>13</v>
      </c>
      <c r="F197" s="9">
        <v>925996</v>
      </c>
    </row>
  </sheetData>
  <mergeCells count="2">
    <mergeCell ref="B2:C2"/>
    <mergeCell ref="E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7</xdr:col>
                <xdr:colOff>9525</xdr:colOff>
                <xdr:row>11</xdr:row>
                <xdr:rowOff>0</xdr:rowOff>
              </from>
              <to>
                <xdr:col>8</xdr:col>
                <xdr:colOff>600075</xdr:colOff>
                <xdr:row>13</xdr:row>
                <xdr:rowOff>161925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7</xdr:col>
                <xdr:colOff>9525</xdr:colOff>
                <xdr:row>6</xdr:row>
                <xdr:rowOff>171450</xdr:rowOff>
              </from>
              <to>
                <xdr:col>9</xdr:col>
                <xdr:colOff>381000</xdr:colOff>
                <xdr:row>10</xdr:row>
                <xdr:rowOff>28575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C685-6F5C-4EF2-A6A0-705F6189D421}">
  <sheetPr codeName="Sheet2"/>
  <dimension ref="A1:AC62"/>
  <sheetViews>
    <sheetView zoomScale="85" zoomScaleNormal="85" workbookViewId="0">
      <selection activeCell="I26" sqref="I26"/>
    </sheetView>
  </sheetViews>
  <sheetFormatPr defaultColWidth="4.7109375" defaultRowHeight="15" x14ac:dyDescent="0.25"/>
  <cols>
    <col min="1" max="1" width="3.5703125" bestFit="1" customWidth="1"/>
    <col min="2" max="2" width="17.140625" bestFit="1" customWidth="1"/>
    <col min="3" max="3" width="7" style="11" bestFit="1" customWidth="1"/>
    <col min="4" max="4" width="14.7109375" bestFit="1" customWidth="1"/>
    <col min="5" max="5" width="9.85546875" customWidth="1"/>
    <col min="6" max="6" width="10.7109375" style="20" bestFit="1" customWidth="1"/>
    <col min="7" max="7" width="10" bestFit="1" customWidth="1"/>
    <col min="8" max="8" width="11.85546875" bestFit="1" customWidth="1"/>
    <col min="9" max="9" width="14.7109375" bestFit="1" customWidth="1"/>
    <col min="10" max="10" width="11.5703125" bestFit="1" customWidth="1"/>
    <col min="11" max="11" width="14.42578125" bestFit="1" customWidth="1"/>
    <col min="12" max="12" width="10.5703125" style="10" customWidth="1"/>
    <col min="13" max="13" width="10.85546875" customWidth="1"/>
    <col min="14" max="14" width="15" bestFit="1" customWidth="1"/>
    <col min="15" max="15" width="12.85546875" bestFit="1" customWidth="1"/>
    <col min="16" max="16" width="10.42578125" bestFit="1" customWidth="1"/>
    <col min="17" max="17" width="23.140625" customWidth="1"/>
    <col min="18" max="18" width="16.28515625" bestFit="1" customWidth="1"/>
    <col min="19" max="19" width="13.5703125" bestFit="1" customWidth="1"/>
    <col min="20" max="29" width="12.7109375" customWidth="1"/>
  </cols>
  <sheetData>
    <row r="1" spans="1:29" x14ac:dyDescent="0.25">
      <c r="T1" s="74" t="s">
        <v>346</v>
      </c>
      <c r="U1" s="74"/>
      <c r="V1" s="74"/>
      <c r="W1" s="74" t="s">
        <v>383</v>
      </c>
      <c r="X1" s="74"/>
      <c r="Y1" s="74"/>
      <c r="Z1" s="74" t="s">
        <v>357</v>
      </c>
      <c r="AA1" s="74"/>
      <c r="AB1" s="74"/>
      <c r="AC1" s="58" t="s">
        <v>387</v>
      </c>
    </row>
    <row r="2" spans="1:29" s="10" customFormat="1" ht="39.950000000000003" customHeight="1" x14ac:dyDescent="0.25">
      <c r="A2" s="63" t="s">
        <v>210</v>
      </c>
      <c r="B2" s="63" t="s">
        <v>213</v>
      </c>
      <c r="C2" s="64" t="s">
        <v>212</v>
      </c>
      <c r="D2" s="63" t="s">
        <v>204</v>
      </c>
      <c r="E2" s="61" t="s">
        <v>421</v>
      </c>
      <c r="F2" s="63" t="s">
        <v>199</v>
      </c>
      <c r="G2" s="63" t="s">
        <v>200</v>
      </c>
      <c r="H2" s="63" t="s">
        <v>201</v>
      </c>
      <c r="I2" s="63" t="s">
        <v>202</v>
      </c>
      <c r="J2" s="61" t="s">
        <v>209</v>
      </c>
      <c r="K2" s="61" t="s">
        <v>203</v>
      </c>
      <c r="L2" s="61" t="s">
        <v>205</v>
      </c>
      <c r="M2" s="61" t="s">
        <v>206</v>
      </c>
      <c r="N2" s="61" t="s">
        <v>420</v>
      </c>
      <c r="O2" s="63" t="s">
        <v>207</v>
      </c>
      <c r="P2" s="61" t="s">
        <v>208</v>
      </c>
      <c r="Q2" s="62" t="s">
        <v>223</v>
      </c>
      <c r="R2" s="62" t="s">
        <v>340</v>
      </c>
      <c r="S2" s="62" t="s">
        <v>224</v>
      </c>
      <c r="T2" s="59" t="s">
        <v>238</v>
      </c>
      <c r="U2" s="59" t="s">
        <v>384</v>
      </c>
      <c r="V2" s="59" t="s">
        <v>385</v>
      </c>
      <c r="W2" s="59" t="s">
        <v>238</v>
      </c>
      <c r="X2" s="59" t="s">
        <v>384</v>
      </c>
      <c r="Y2" s="60" t="s">
        <v>419</v>
      </c>
      <c r="Z2" s="60" t="s">
        <v>386</v>
      </c>
      <c r="AA2" s="59" t="s">
        <v>238</v>
      </c>
      <c r="AB2" s="59" t="s">
        <v>384</v>
      </c>
      <c r="AC2" s="59"/>
    </row>
    <row r="3" spans="1:29" x14ac:dyDescent="0.25">
      <c r="A3">
        <v>1</v>
      </c>
      <c r="B3" t="s">
        <v>1</v>
      </c>
      <c r="C3" s="11">
        <v>931678</v>
      </c>
      <c r="D3" t="s">
        <v>216</v>
      </c>
      <c r="E3" s="13" t="s">
        <v>356</v>
      </c>
      <c r="F3" s="20">
        <v>44761</v>
      </c>
      <c r="G3" s="14">
        <v>0.4437962962962963</v>
      </c>
      <c r="H3" t="s">
        <v>351</v>
      </c>
      <c r="I3" t="s">
        <v>352</v>
      </c>
      <c r="J3" t="s">
        <v>345</v>
      </c>
      <c r="K3" t="s">
        <v>349</v>
      </c>
      <c r="L3" s="10" t="s">
        <v>353</v>
      </c>
      <c r="N3" t="s">
        <v>268</v>
      </c>
      <c r="O3" t="s">
        <v>231</v>
      </c>
      <c r="P3" t="s">
        <v>354</v>
      </c>
      <c r="Q3" t="s">
        <v>355</v>
      </c>
      <c r="R3" t="s">
        <v>347</v>
      </c>
      <c r="S3" t="s">
        <v>357</v>
      </c>
      <c r="Z3" t="s">
        <v>400</v>
      </c>
      <c r="AA3" t="s">
        <v>401</v>
      </c>
      <c r="AB3" t="s">
        <v>402</v>
      </c>
    </row>
    <row r="4" spans="1:29" x14ac:dyDescent="0.25">
      <c r="A4">
        <v>2</v>
      </c>
      <c r="B4" t="s">
        <v>1</v>
      </c>
      <c r="C4" s="11">
        <v>931678</v>
      </c>
      <c r="D4" t="s">
        <v>211</v>
      </c>
      <c r="E4" t="s">
        <v>356</v>
      </c>
      <c r="F4" s="20">
        <v>44761</v>
      </c>
      <c r="G4" s="14">
        <v>0.4437962962962963</v>
      </c>
      <c r="H4" t="s">
        <v>351</v>
      </c>
      <c r="I4" t="s">
        <v>352</v>
      </c>
      <c r="J4" t="s">
        <v>345</v>
      </c>
      <c r="K4" t="s">
        <v>349</v>
      </c>
      <c r="L4" s="10" t="s">
        <v>348</v>
      </c>
      <c r="N4" t="s">
        <v>268</v>
      </c>
      <c r="O4" t="s">
        <v>231</v>
      </c>
      <c r="P4" t="s">
        <v>354</v>
      </c>
      <c r="Q4" t="s">
        <v>355</v>
      </c>
      <c r="R4" t="s">
        <v>347</v>
      </c>
      <c r="S4" t="s">
        <v>383</v>
      </c>
      <c r="W4" t="s">
        <v>381</v>
      </c>
      <c r="X4" t="s">
        <v>382</v>
      </c>
      <c r="Y4" t="s">
        <v>408</v>
      </c>
    </row>
    <row r="5" spans="1:29" x14ac:dyDescent="0.25">
      <c r="A5">
        <v>3</v>
      </c>
      <c r="B5" t="s">
        <v>1</v>
      </c>
      <c r="C5" s="11">
        <v>931678</v>
      </c>
      <c r="D5" t="s">
        <v>211</v>
      </c>
      <c r="E5" t="s">
        <v>356</v>
      </c>
      <c r="F5" s="20">
        <v>44761</v>
      </c>
      <c r="G5" s="14">
        <v>0.4437962962962963</v>
      </c>
      <c r="H5" t="s">
        <v>351</v>
      </c>
      <c r="I5" t="s">
        <v>352</v>
      </c>
      <c r="J5" t="s">
        <v>345</v>
      </c>
      <c r="K5" t="s">
        <v>349</v>
      </c>
      <c r="L5" s="10" t="s">
        <v>353</v>
      </c>
      <c r="N5" t="s">
        <v>268</v>
      </c>
      <c r="O5" t="s">
        <v>231</v>
      </c>
      <c r="P5" t="s">
        <v>354</v>
      </c>
      <c r="Q5" t="s">
        <v>355</v>
      </c>
      <c r="R5" t="s">
        <v>347</v>
      </c>
      <c r="S5" t="s">
        <v>346</v>
      </c>
      <c r="T5" t="s">
        <v>403</v>
      </c>
      <c r="U5" t="s">
        <v>404</v>
      </c>
      <c r="V5" t="s">
        <v>405</v>
      </c>
    </row>
    <row r="6" spans="1:29" x14ac:dyDescent="0.25">
      <c r="A6">
        <v>4</v>
      </c>
      <c r="B6" t="s">
        <v>1</v>
      </c>
      <c r="C6" s="11">
        <v>931678</v>
      </c>
      <c r="D6" t="s">
        <v>216</v>
      </c>
      <c r="E6" s="13" t="s">
        <v>356</v>
      </c>
      <c r="F6" s="20">
        <v>44761</v>
      </c>
      <c r="G6" s="14">
        <v>0.4437962962962963</v>
      </c>
      <c r="H6" t="s">
        <v>351</v>
      </c>
      <c r="I6" t="s">
        <v>352</v>
      </c>
      <c r="J6" t="s">
        <v>345</v>
      </c>
      <c r="K6" t="s">
        <v>349</v>
      </c>
      <c r="L6" s="10" t="s">
        <v>353</v>
      </c>
      <c r="N6" t="s">
        <v>268</v>
      </c>
      <c r="O6" t="s">
        <v>231</v>
      </c>
      <c r="P6" t="s">
        <v>354</v>
      </c>
      <c r="Q6" t="s">
        <v>355</v>
      </c>
      <c r="R6" t="s">
        <v>366</v>
      </c>
      <c r="S6" t="s">
        <v>367</v>
      </c>
      <c r="AC6" t="s">
        <v>407</v>
      </c>
    </row>
    <row r="7" spans="1:29" x14ac:dyDescent="0.25">
      <c r="A7" s="57">
        <v>5</v>
      </c>
      <c r="B7" t="s">
        <v>0</v>
      </c>
      <c r="C7" s="11">
        <v>2103</v>
      </c>
      <c r="D7" t="s">
        <v>217</v>
      </c>
      <c r="E7" s="13" t="s">
        <v>365</v>
      </c>
      <c r="F7" s="20">
        <v>44761</v>
      </c>
      <c r="G7" s="14">
        <v>0.54190972222222222</v>
      </c>
      <c r="H7" t="s">
        <v>358</v>
      </c>
      <c r="I7" t="s">
        <v>359</v>
      </c>
      <c r="J7" t="s">
        <v>234</v>
      </c>
      <c r="K7" t="s">
        <v>360</v>
      </c>
      <c r="L7" s="10" t="s">
        <v>348</v>
      </c>
      <c r="M7" t="s">
        <v>361</v>
      </c>
      <c r="N7" t="s">
        <v>266</v>
      </c>
      <c r="O7" t="s">
        <v>362</v>
      </c>
      <c r="P7" t="s">
        <v>363</v>
      </c>
      <c r="Q7" t="s">
        <v>364</v>
      </c>
      <c r="R7" t="s">
        <v>366</v>
      </c>
      <c r="S7" t="s">
        <v>367</v>
      </c>
      <c r="AC7" t="s">
        <v>422</v>
      </c>
    </row>
    <row r="8" spans="1:29" x14ac:dyDescent="0.25">
      <c r="A8" s="57">
        <v>6</v>
      </c>
      <c r="B8" t="s">
        <v>0</v>
      </c>
      <c r="C8" s="11">
        <v>2103</v>
      </c>
      <c r="D8" t="s">
        <v>217</v>
      </c>
      <c r="E8" s="13" t="s">
        <v>365</v>
      </c>
      <c r="F8" s="20">
        <v>44761</v>
      </c>
      <c r="G8" s="14">
        <v>0.54320601851851846</v>
      </c>
      <c r="H8" t="s">
        <v>368</v>
      </c>
      <c r="I8" t="s">
        <v>350</v>
      </c>
      <c r="J8" t="s">
        <v>369</v>
      </c>
      <c r="K8" t="s">
        <v>370</v>
      </c>
      <c r="L8" s="10" t="s">
        <v>348</v>
      </c>
      <c r="M8" t="s">
        <v>371</v>
      </c>
      <c r="N8" t="s">
        <v>267</v>
      </c>
      <c r="O8" t="s">
        <v>372</v>
      </c>
      <c r="P8" t="s">
        <v>352</v>
      </c>
      <c r="Q8" t="s">
        <v>373</v>
      </c>
      <c r="R8" t="s">
        <v>366</v>
      </c>
      <c r="S8" t="s">
        <v>346</v>
      </c>
    </row>
    <row r="9" spans="1:29" x14ac:dyDescent="0.25">
      <c r="A9" s="57">
        <v>7</v>
      </c>
      <c r="B9" t="s">
        <v>44</v>
      </c>
      <c r="C9" s="11">
        <v>939920</v>
      </c>
      <c r="D9" t="s">
        <v>211</v>
      </c>
      <c r="E9" s="13" t="s">
        <v>365</v>
      </c>
      <c r="F9" s="20">
        <v>44761</v>
      </c>
      <c r="G9" s="14">
        <v>0.60501157407407413</v>
      </c>
      <c r="H9" t="s">
        <v>374</v>
      </c>
      <c r="I9" t="s">
        <v>375</v>
      </c>
      <c r="J9" t="s">
        <v>376</v>
      </c>
      <c r="K9" t="s">
        <v>377</v>
      </c>
      <c r="L9" s="10" t="s">
        <v>348</v>
      </c>
      <c r="M9" t="s">
        <v>374</v>
      </c>
      <c r="N9" t="s">
        <v>241</v>
      </c>
      <c r="O9" t="s">
        <v>362</v>
      </c>
      <c r="P9" t="s">
        <v>376</v>
      </c>
      <c r="Q9" t="s">
        <v>378</v>
      </c>
      <c r="R9" t="s">
        <v>366</v>
      </c>
    </row>
    <row r="10" spans="1:29" x14ac:dyDescent="0.25">
      <c r="A10" s="57">
        <v>8</v>
      </c>
      <c r="B10" t="s">
        <v>1</v>
      </c>
      <c r="C10" s="11">
        <v>931678</v>
      </c>
      <c r="D10" t="s">
        <v>226</v>
      </c>
      <c r="E10" t="s">
        <v>356</v>
      </c>
      <c r="F10" s="20">
        <v>44762</v>
      </c>
      <c r="G10" s="14">
        <v>0.30004629629629631</v>
      </c>
      <c r="H10">
        <v>10420</v>
      </c>
      <c r="I10">
        <v>2004</v>
      </c>
      <c r="J10">
        <v>26504</v>
      </c>
      <c r="K10">
        <v>22314</v>
      </c>
      <c r="L10" s="10" t="s">
        <v>348</v>
      </c>
      <c r="M10">
        <v>20004</v>
      </c>
      <c r="N10" t="s">
        <v>325</v>
      </c>
      <c r="O10" t="s">
        <v>379</v>
      </c>
      <c r="P10">
        <v>2004</v>
      </c>
      <c r="Q10" t="s">
        <v>380</v>
      </c>
      <c r="R10" t="s">
        <v>366</v>
      </c>
      <c r="S10" t="s">
        <v>367</v>
      </c>
      <c r="AC10">
        <v>2222</v>
      </c>
    </row>
    <row r="11" spans="1:29" x14ac:dyDescent="0.25">
      <c r="A11">
        <v>9</v>
      </c>
      <c r="B11" t="s">
        <v>1</v>
      </c>
      <c r="C11" s="11">
        <v>931678</v>
      </c>
      <c r="D11" t="s">
        <v>216</v>
      </c>
      <c r="E11" t="s">
        <v>356</v>
      </c>
      <c r="F11" s="20">
        <v>44762</v>
      </c>
      <c r="G11" s="14">
        <v>0.54533564814814817</v>
      </c>
      <c r="H11" t="s">
        <v>368</v>
      </c>
      <c r="I11" t="s">
        <v>388</v>
      </c>
      <c r="J11" t="s">
        <v>389</v>
      </c>
      <c r="K11" t="s">
        <v>390</v>
      </c>
      <c r="L11" s="10" t="s">
        <v>348</v>
      </c>
      <c r="M11" t="s">
        <v>391</v>
      </c>
      <c r="N11" t="s">
        <v>250</v>
      </c>
      <c r="O11" t="s">
        <v>372</v>
      </c>
      <c r="P11">
        <v>122</v>
      </c>
      <c r="Q11">
        <v>2</v>
      </c>
      <c r="R11" t="s">
        <v>366</v>
      </c>
      <c r="S11" t="s">
        <v>367</v>
      </c>
      <c r="AC11" t="s">
        <v>406</v>
      </c>
    </row>
    <row r="12" spans="1:29" x14ac:dyDescent="0.25">
      <c r="A12" s="57">
        <v>10</v>
      </c>
      <c r="B12" t="s">
        <v>42</v>
      </c>
      <c r="C12" s="11">
        <v>939510</v>
      </c>
      <c r="D12" t="s">
        <v>211</v>
      </c>
      <c r="E12" t="s">
        <v>356</v>
      </c>
      <c r="F12" s="20">
        <v>44763</v>
      </c>
      <c r="G12" s="14">
        <v>0.6149189814814815</v>
      </c>
      <c r="H12" t="s">
        <v>392</v>
      </c>
      <c r="I12" t="s">
        <v>202</v>
      </c>
      <c r="J12" t="s">
        <v>209</v>
      </c>
      <c r="K12" t="s">
        <v>203</v>
      </c>
      <c r="L12" s="10" t="s">
        <v>348</v>
      </c>
      <c r="M12" t="s">
        <v>222</v>
      </c>
      <c r="N12" t="s">
        <v>245</v>
      </c>
      <c r="O12" t="s">
        <v>231</v>
      </c>
      <c r="P12" t="s">
        <v>393</v>
      </c>
      <c r="Q12" t="s">
        <v>394</v>
      </c>
      <c r="R12" t="s">
        <v>347</v>
      </c>
      <c r="S12" t="s">
        <v>367</v>
      </c>
      <c r="AC12" t="s">
        <v>395</v>
      </c>
    </row>
    <row r="13" spans="1:29" ht="13.5" customHeight="1" x14ac:dyDescent="0.25">
      <c r="A13" s="57">
        <v>11</v>
      </c>
      <c r="B13" t="s">
        <v>1</v>
      </c>
      <c r="C13" s="11">
        <v>931678</v>
      </c>
      <c r="D13" t="s">
        <v>225</v>
      </c>
      <c r="E13" t="s">
        <v>356</v>
      </c>
      <c r="F13" s="20">
        <v>44763</v>
      </c>
      <c r="G13" s="14">
        <v>0.63343749999999999</v>
      </c>
      <c r="H13">
        <v>6515</v>
      </c>
      <c r="I13" s="21">
        <v>6551516</v>
      </c>
      <c r="J13">
        <v>211</v>
      </c>
      <c r="K13">
        <v>5165165</v>
      </c>
      <c r="L13" s="10" t="s">
        <v>353</v>
      </c>
      <c r="M13">
        <v>654</v>
      </c>
      <c r="N13" s="56" t="s">
        <v>396</v>
      </c>
      <c r="O13" t="s">
        <v>231</v>
      </c>
      <c r="P13">
        <v>221425</v>
      </c>
      <c r="Q13">
        <v>616561</v>
      </c>
      <c r="R13" t="s">
        <v>347</v>
      </c>
      <c r="S13" t="s">
        <v>367</v>
      </c>
      <c r="AC13" t="s">
        <v>395</v>
      </c>
    </row>
    <row r="14" spans="1:29" x14ac:dyDescent="0.25">
      <c r="A14" s="57">
        <v>12</v>
      </c>
      <c r="B14" t="s">
        <v>44</v>
      </c>
      <c r="C14" s="11">
        <v>939920</v>
      </c>
      <c r="D14" t="s">
        <v>216</v>
      </c>
      <c r="E14" t="s">
        <v>365</v>
      </c>
      <c r="F14" s="20">
        <v>44764</v>
      </c>
      <c r="G14" s="14">
        <v>0.29440972222222223</v>
      </c>
      <c r="H14">
        <v>54314</v>
      </c>
      <c r="I14" s="21">
        <v>210</v>
      </c>
      <c r="J14" s="20">
        <v>22146</v>
      </c>
      <c r="K14">
        <v>22118</v>
      </c>
      <c r="L14" s="10" t="s">
        <v>348</v>
      </c>
      <c r="M14">
        <v>1140</v>
      </c>
      <c r="N14" s="56" t="s">
        <v>251</v>
      </c>
      <c r="O14" t="s">
        <v>379</v>
      </c>
      <c r="P14">
        <v>22510</v>
      </c>
      <c r="Q14" t="s">
        <v>398</v>
      </c>
      <c r="R14" t="s">
        <v>366</v>
      </c>
      <c r="S14" t="s">
        <v>367</v>
      </c>
      <c r="AC14" t="s">
        <v>409</v>
      </c>
    </row>
    <row r="15" spans="1:29" x14ac:dyDescent="0.25">
      <c r="A15" s="57">
        <v>13</v>
      </c>
      <c r="B15" t="s">
        <v>1</v>
      </c>
      <c r="C15" s="11">
        <v>931678</v>
      </c>
      <c r="D15" t="s">
        <v>216</v>
      </c>
      <c r="E15" t="s">
        <v>356</v>
      </c>
      <c r="F15" s="20">
        <v>44764</v>
      </c>
      <c r="G15" s="14">
        <v>0.29652777777777778</v>
      </c>
      <c r="H15">
        <v>46215</v>
      </c>
      <c r="I15">
        <v>22351</v>
      </c>
      <c r="J15">
        <v>51324</v>
      </c>
      <c r="K15">
        <v>14862</v>
      </c>
      <c r="L15" s="10" t="s">
        <v>348</v>
      </c>
      <c r="M15">
        <v>225478</v>
      </c>
      <c r="N15" t="s">
        <v>259</v>
      </c>
      <c r="O15" t="s">
        <v>231</v>
      </c>
      <c r="P15">
        <v>4415</v>
      </c>
      <c r="Q15" t="s">
        <v>223</v>
      </c>
      <c r="R15" t="s">
        <v>347</v>
      </c>
      <c r="S15" t="s">
        <v>383</v>
      </c>
      <c r="W15">
        <v>21345</v>
      </c>
      <c r="X15">
        <v>55146</v>
      </c>
      <c r="Y15" t="s">
        <v>399</v>
      </c>
    </row>
    <row r="16" spans="1:29" x14ac:dyDescent="0.25">
      <c r="A16" s="57">
        <v>14</v>
      </c>
      <c r="B16" t="s">
        <v>1</v>
      </c>
      <c r="C16" s="11">
        <v>931678</v>
      </c>
      <c r="D16" t="s">
        <v>216</v>
      </c>
      <c r="E16" t="s">
        <v>356</v>
      </c>
      <c r="F16" s="20">
        <v>44767</v>
      </c>
      <c r="G16" s="14">
        <v>0.3075</v>
      </c>
      <c r="H16">
        <v>84201</v>
      </c>
      <c r="I16">
        <v>22014</v>
      </c>
      <c r="J16">
        <v>54650</v>
      </c>
      <c r="K16">
        <v>22145</v>
      </c>
      <c r="L16" s="10" t="s">
        <v>348</v>
      </c>
      <c r="M16">
        <v>62104</v>
      </c>
      <c r="N16" t="s">
        <v>314</v>
      </c>
      <c r="O16" t="s">
        <v>362</v>
      </c>
      <c r="P16">
        <v>85402</v>
      </c>
      <c r="Q16" t="s">
        <v>410</v>
      </c>
      <c r="R16" t="s">
        <v>347</v>
      </c>
      <c r="S16" t="s">
        <v>367</v>
      </c>
      <c r="AC16" t="s">
        <v>395</v>
      </c>
    </row>
    <row r="17" spans="1:29" x14ac:dyDescent="0.25">
      <c r="A17">
        <v>15</v>
      </c>
      <c r="B17" t="s">
        <v>1</v>
      </c>
      <c r="C17" s="11">
        <v>931678</v>
      </c>
      <c r="D17" t="s">
        <v>216</v>
      </c>
      <c r="E17" t="s">
        <v>356</v>
      </c>
      <c r="F17" s="20">
        <v>44769</v>
      </c>
      <c r="G17" s="14">
        <v>0.39579861111111114</v>
      </c>
      <c r="H17" t="s">
        <v>411</v>
      </c>
      <c r="I17" t="s">
        <v>412</v>
      </c>
      <c r="J17" t="s">
        <v>413</v>
      </c>
      <c r="K17" t="s">
        <v>414</v>
      </c>
      <c r="L17" s="10" t="s">
        <v>348</v>
      </c>
      <c r="M17" t="s">
        <v>415</v>
      </c>
      <c r="N17" t="s">
        <v>289</v>
      </c>
      <c r="O17" t="s">
        <v>372</v>
      </c>
      <c r="P17" t="s">
        <v>416</v>
      </c>
      <c r="Q17" t="s">
        <v>417</v>
      </c>
      <c r="R17" t="s">
        <v>347</v>
      </c>
      <c r="S17" t="s">
        <v>367</v>
      </c>
      <c r="AC17" t="s">
        <v>418</v>
      </c>
    </row>
    <row r="18" spans="1:29" x14ac:dyDescent="0.25">
      <c r="A18" s="57">
        <v>16</v>
      </c>
      <c r="B18" t="s">
        <v>1</v>
      </c>
      <c r="C18" s="11">
        <v>931678</v>
      </c>
      <c r="D18" t="s">
        <v>226</v>
      </c>
      <c r="E18" t="s">
        <v>356</v>
      </c>
      <c r="F18" s="20">
        <v>44762</v>
      </c>
      <c r="G18" s="14">
        <v>0.30004629629629631</v>
      </c>
      <c r="H18">
        <v>10420</v>
      </c>
      <c r="I18">
        <v>2004</v>
      </c>
      <c r="J18">
        <v>26504</v>
      </c>
      <c r="K18">
        <v>22314</v>
      </c>
      <c r="L18" s="10" t="s">
        <v>348</v>
      </c>
      <c r="M18">
        <v>20004</v>
      </c>
      <c r="N18" t="s">
        <v>325</v>
      </c>
      <c r="O18" t="s">
        <v>379</v>
      </c>
      <c r="P18">
        <v>2004</v>
      </c>
      <c r="Q18" t="s">
        <v>380</v>
      </c>
      <c r="R18" t="s">
        <v>347</v>
      </c>
      <c r="S18" t="s">
        <v>367</v>
      </c>
    </row>
    <row r="19" spans="1:29" x14ac:dyDescent="0.25">
      <c r="A19" s="57">
        <v>17</v>
      </c>
      <c r="B19" t="s">
        <v>44</v>
      </c>
      <c r="C19" s="11">
        <v>939920</v>
      </c>
      <c r="D19" t="s">
        <v>216</v>
      </c>
      <c r="E19" t="s">
        <v>365</v>
      </c>
      <c r="F19" s="20">
        <v>44764</v>
      </c>
      <c r="G19" s="14">
        <v>0.29440972222222223</v>
      </c>
      <c r="H19">
        <v>54314</v>
      </c>
      <c r="I19" s="21">
        <v>210</v>
      </c>
      <c r="J19" s="20">
        <v>22146</v>
      </c>
      <c r="K19">
        <v>22118</v>
      </c>
      <c r="L19" s="10" t="s">
        <v>348</v>
      </c>
      <c r="M19">
        <v>1140</v>
      </c>
      <c r="N19" s="56" t="s">
        <v>251</v>
      </c>
      <c r="O19" t="s">
        <v>379</v>
      </c>
      <c r="P19">
        <v>22510</v>
      </c>
      <c r="Q19" t="s">
        <v>398</v>
      </c>
      <c r="R19" t="s">
        <v>347</v>
      </c>
      <c r="S19" t="s">
        <v>367</v>
      </c>
    </row>
    <row r="20" spans="1:29" x14ac:dyDescent="0.25">
      <c r="A20" s="57">
        <v>18</v>
      </c>
      <c r="B20" t="s">
        <v>1</v>
      </c>
      <c r="C20" s="11">
        <v>931678</v>
      </c>
      <c r="D20" t="s">
        <v>216</v>
      </c>
      <c r="E20" t="s">
        <v>356</v>
      </c>
      <c r="F20" s="20">
        <v>44767</v>
      </c>
      <c r="G20" s="14">
        <v>0.3075</v>
      </c>
      <c r="H20">
        <v>84201</v>
      </c>
      <c r="I20">
        <v>22014</v>
      </c>
      <c r="J20">
        <v>54650</v>
      </c>
      <c r="K20">
        <v>22145</v>
      </c>
      <c r="L20" s="10" t="s">
        <v>348</v>
      </c>
      <c r="M20">
        <v>62104</v>
      </c>
      <c r="N20" t="s">
        <v>314</v>
      </c>
      <c r="O20" t="s">
        <v>424</v>
      </c>
      <c r="P20">
        <v>85402</v>
      </c>
      <c r="Q20" t="s">
        <v>410</v>
      </c>
      <c r="R20" t="s">
        <v>347</v>
      </c>
      <c r="S20" t="s">
        <v>367</v>
      </c>
      <c r="AC20" t="s">
        <v>395</v>
      </c>
    </row>
    <row r="21" spans="1:29" x14ac:dyDescent="0.25">
      <c r="A21" s="57">
        <v>19</v>
      </c>
      <c r="B21" t="s">
        <v>1</v>
      </c>
      <c r="C21" s="11">
        <v>931678</v>
      </c>
      <c r="D21" t="s">
        <v>216</v>
      </c>
      <c r="E21" t="s">
        <v>356</v>
      </c>
      <c r="F21" s="20">
        <v>44769</v>
      </c>
      <c r="G21" s="14">
        <v>0.39579861111111114</v>
      </c>
      <c r="H21" t="s">
        <v>411</v>
      </c>
      <c r="I21" t="s">
        <v>412</v>
      </c>
      <c r="J21" t="s">
        <v>413</v>
      </c>
      <c r="K21" t="s">
        <v>414</v>
      </c>
      <c r="L21" s="10" t="s">
        <v>348</v>
      </c>
      <c r="M21" t="s">
        <v>415</v>
      </c>
      <c r="N21" t="s">
        <v>289</v>
      </c>
      <c r="O21" t="s">
        <v>424</v>
      </c>
      <c r="P21" t="s">
        <v>416</v>
      </c>
      <c r="Q21" t="s">
        <v>417</v>
      </c>
      <c r="R21" t="s">
        <v>347</v>
      </c>
      <c r="S21" t="s">
        <v>367</v>
      </c>
      <c r="AC21" t="s">
        <v>418</v>
      </c>
    </row>
    <row r="22" spans="1:29" x14ac:dyDescent="0.25">
      <c r="A22" s="57">
        <v>20</v>
      </c>
      <c r="B22" t="s">
        <v>1</v>
      </c>
      <c r="C22" s="11">
        <v>931678</v>
      </c>
      <c r="D22" t="s">
        <v>226</v>
      </c>
      <c r="E22" t="s">
        <v>356</v>
      </c>
      <c r="F22" s="20">
        <v>44762</v>
      </c>
      <c r="G22" s="14">
        <v>0.30004629629629631</v>
      </c>
      <c r="H22">
        <v>10420</v>
      </c>
      <c r="I22">
        <v>2004</v>
      </c>
      <c r="J22">
        <v>26504</v>
      </c>
      <c r="K22">
        <v>22314</v>
      </c>
      <c r="L22" s="10" t="s">
        <v>348</v>
      </c>
      <c r="M22">
        <v>20004</v>
      </c>
      <c r="N22" t="s">
        <v>325</v>
      </c>
      <c r="O22" t="s">
        <v>424</v>
      </c>
      <c r="P22">
        <v>2004</v>
      </c>
      <c r="Q22" t="s">
        <v>380</v>
      </c>
      <c r="R22" t="s">
        <v>347</v>
      </c>
      <c r="S22" t="s">
        <v>346</v>
      </c>
      <c r="T22" t="s">
        <v>428</v>
      </c>
      <c r="U22" s="69" t="s">
        <v>429</v>
      </c>
      <c r="V22" t="s">
        <v>430</v>
      </c>
    </row>
    <row r="23" spans="1:29" x14ac:dyDescent="0.25">
      <c r="A23" s="57">
        <v>21</v>
      </c>
      <c r="B23" t="s">
        <v>44</v>
      </c>
      <c r="C23" s="11">
        <v>939920</v>
      </c>
      <c r="D23" t="s">
        <v>216</v>
      </c>
      <c r="E23" t="s">
        <v>365</v>
      </c>
      <c r="F23" s="20">
        <v>44764</v>
      </c>
      <c r="G23" s="14">
        <v>0.29440972222222223</v>
      </c>
      <c r="H23">
        <v>54314</v>
      </c>
      <c r="I23" s="21">
        <v>210</v>
      </c>
      <c r="J23" s="20">
        <v>22146</v>
      </c>
      <c r="K23">
        <v>22118</v>
      </c>
      <c r="L23" s="10" t="s">
        <v>348</v>
      </c>
      <c r="M23">
        <v>1140</v>
      </c>
      <c r="N23" s="56" t="s">
        <v>251</v>
      </c>
      <c r="O23" t="s">
        <v>424</v>
      </c>
      <c r="P23">
        <v>22510</v>
      </c>
      <c r="Q23" t="s">
        <v>398</v>
      </c>
      <c r="R23" t="s">
        <v>347</v>
      </c>
      <c r="S23" t="s">
        <v>383</v>
      </c>
      <c r="W23" t="s">
        <v>426</v>
      </c>
      <c r="X23" t="s">
        <v>425</v>
      </c>
      <c r="Y23" t="s">
        <v>427</v>
      </c>
    </row>
    <row r="24" spans="1:29" x14ac:dyDescent="0.25">
      <c r="A24" s="57"/>
      <c r="G24" s="14"/>
    </row>
    <row r="25" spans="1:29" x14ac:dyDescent="0.25">
      <c r="A25" s="57"/>
      <c r="G25" s="14"/>
    </row>
    <row r="26" spans="1:29" x14ac:dyDescent="0.25">
      <c r="G26" s="14"/>
    </row>
    <row r="27" spans="1:29" x14ac:dyDescent="0.25">
      <c r="A27" s="57"/>
      <c r="G27" s="14"/>
    </row>
    <row r="28" spans="1:29" x14ac:dyDescent="0.25">
      <c r="A28" s="57"/>
      <c r="G28" s="14"/>
    </row>
    <row r="29" spans="1:29" x14ac:dyDescent="0.25">
      <c r="G29" s="14"/>
    </row>
    <row r="30" spans="1:29" x14ac:dyDescent="0.25">
      <c r="A30" s="57"/>
      <c r="G30" s="14"/>
    </row>
    <row r="31" spans="1:29" x14ac:dyDescent="0.25">
      <c r="A31" s="57"/>
      <c r="G31" s="14"/>
    </row>
    <row r="32" spans="1:29" x14ac:dyDescent="0.25">
      <c r="G32" s="14"/>
    </row>
    <row r="33" spans="1:11" x14ac:dyDescent="0.25">
      <c r="A33" s="57"/>
      <c r="G33" s="14"/>
    </row>
    <row r="34" spans="1:11" x14ac:dyDescent="0.25">
      <c r="A34" s="57"/>
      <c r="G34" s="14"/>
    </row>
    <row r="35" spans="1:11" x14ac:dyDescent="0.25">
      <c r="G35" s="14"/>
    </row>
    <row r="36" spans="1:11" x14ac:dyDescent="0.25">
      <c r="A36" s="57"/>
      <c r="G36" s="14"/>
    </row>
    <row r="37" spans="1:11" x14ac:dyDescent="0.25">
      <c r="A37" s="57"/>
      <c r="G37" s="14"/>
    </row>
    <row r="38" spans="1:11" x14ac:dyDescent="0.25">
      <c r="G38" s="14"/>
    </row>
    <row r="39" spans="1:11" x14ac:dyDescent="0.25">
      <c r="A39" s="57"/>
      <c r="G39" s="14"/>
    </row>
    <row r="40" spans="1:11" x14ac:dyDescent="0.25">
      <c r="A40" s="57"/>
      <c r="G40" s="14"/>
    </row>
    <row r="41" spans="1:11" x14ac:dyDescent="0.25">
      <c r="G41" s="14"/>
    </row>
    <row r="42" spans="1:11" x14ac:dyDescent="0.25">
      <c r="A42" s="57"/>
      <c r="G42" s="14"/>
    </row>
    <row r="43" spans="1:11" x14ac:dyDescent="0.25">
      <c r="A43" s="57"/>
      <c r="G43" s="14"/>
    </row>
    <row r="44" spans="1:11" x14ac:dyDescent="0.25">
      <c r="G44" s="14"/>
      <c r="K44">
        <v>100</v>
      </c>
    </row>
    <row r="45" spans="1:11" x14ac:dyDescent="0.25">
      <c r="A45" s="57"/>
      <c r="G45" s="14"/>
    </row>
    <row r="46" spans="1:11" x14ac:dyDescent="0.25">
      <c r="A46" s="57"/>
      <c r="G46" s="14"/>
    </row>
    <row r="47" spans="1:11" x14ac:dyDescent="0.25">
      <c r="G47" s="14"/>
    </row>
    <row r="48" spans="1:11" x14ac:dyDescent="0.25">
      <c r="A48" s="57"/>
      <c r="G48" s="14"/>
    </row>
    <row r="49" spans="1:7" x14ac:dyDescent="0.25">
      <c r="A49" s="57"/>
      <c r="G49" s="14"/>
    </row>
    <row r="50" spans="1:7" x14ac:dyDescent="0.25">
      <c r="G50" s="14"/>
    </row>
    <row r="51" spans="1:7" x14ac:dyDescent="0.25">
      <c r="A51" s="57"/>
      <c r="G51" s="14"/>
    </row>
    <row r="52" spans="1:7" x14ac:dyDescent="0.25">
      <c r="A52" s="57"/>
      <c r="G52" s="14"/>
    </row>
    <row r="53" spans="1:7" x14ac:dyDescent="0.25">
      <c r="G53" s="14"/>
    </row>
    <row r="54" spans="1:7" x14ac:dyDescent="0.25">
      <c r="A54" s="57"/>
      <c r="G54" s="14"/>
    </row>
    <row r="55" spans="1:7" x14ac:dyDescent="0.25">
      <c r="A55" s="57"/>
      <c r="G55" s="14"/>
    </row>
    <row r="56" spans="1:7" x14ac:dyDescent="0.25">
      <c r="G56" s="14"/>
    </row>
    <row r="57" spans="1:7" x14ac:dyDescent="0.25">
      <c r="A57" s="57"/>
      <c r="G57" s="14"/>
    </row>
    <row r="58" spans="1:7" x14ac:dyDescent="0.25">
      <c r="A58" s="57"/>
      <c r="G58" s="14"/>
    </row>
    <row r="59" spans="1:7" x14ac:dyDescent="0.25">
      <c r="G59" s="14"/>
    </row>
    <row r="60" spans="1:7" x14ac:dyDescent="0.25">
      <c r="A60" s="57"/>
      <c r="G60" s="14"/>
    </row>
    <row r="61" spans="1:7" x14ac:dyDescent="0.25">
      <c r="A61" s="57"/>
      <c r="G61" s="14"/>
    </row>
    <row r="62" spans="1:7" x14ac:dyDescent="0.25">
      <c r="G62" s="14"/>
    </row>
  </sheetData>
  <autoFilter ref="A2:S19" xr:uid="{60F7C685-6F5C-4EF2-A6A0-705F6189D421}"/>
  <mergeCells count="3">
    <mergeCell ref="T1:V1"/>
    <mergeCell ref="W1:Y1"/>
    <mergeCell ref="Z1:A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B948-CCDC-474F-878A-44610FCA1919}">
  <sheetPr codeName="Sheet4"/>
  <dimension ref="A2:N28"/>
  <sheetViews>
    <sheetView zoomScale="85" zoomScaleNormal="85" workbookViewId="0">
      <selection activeCell="G25" sqref="G25"/>
    </sheetView>
  </sheetViews>
  <sheetFormatPr defaultRowHeight="15" x14ac:dyDescent="0.25"/>
  <cols>
    <col min="2" max="2" width="13.85546875" customWidth="1"/>
    <col min="3" max="3" width="30.7109375" bestFit="1" customWidth="1"/>
    <col min="4" max="4" width="18.5703125" customWidth="1"/>
    <col min="5" max="5" width="20.5703125" bestFit="1" customWidth="1"/>
    <col min="6" max="7" width="21.42578125" customWidth="1"/>
    <col min="8" max="8" width="30.140625" bestFit="1" customWidth="1"/>
    <col min="9" max="9" width="13.5703125" bestFit="1" customWidth="1"/>
  </cols>
  <sheetData>
    <row r="2" spans="1:14" ht="33.75" x14ac:dyDescent="0.5">
      <c r="A2" s="75" t="s">
        <v>229</v>
      </c>
      <c r="B2" s="75"/>
      <c r="C2" s="75"/>
      <c r="D2" s="75"/>
      <c r="E2" s="75"/>
      <c r="F2" s="75"/>
      <c r="G2" s="75"/>
      <c r="H2" s="75"/>
      <c r="I2" s="75"/>
      <c r="J2" s="19"/>
    </row>
    <row r="3" spans="1:14" ht="18.75" x14ac:dyDescent="0.3">
      <c r="A3" s="80" t="s">
        <v>230</v>
      </c>
      <c r="B3" s="80"/>
      <c r="C3" s="80"/>
      <c r="H3" s="67">
        <v>44743</v>
      </c>
      <c r="M3" s="12"/>
      <c r="N3" s="12"/>
    </row>
    <row r="5" spans="1:14" x14ac:dyDescent="0.25">
      <c r="A5" s="79" t="s">
        <v>218</v>
      </c>
      <c r="B5" s="79" t="s">
        <v>219</v>
      </c>
      <c r="C5" s="79" t="s">
        <v>220</v>
      </c>
      <c r="D5" s="79" t="s">
        <v>207</v>
      </c>
      <c r="E5" s="79" t="s">
        <v>221</v>
      </c>
      <c r="F5" s="76" t="s">
        <v>222</v>
      </c>
      <c r="G5" s="76" t="s">
        <v>202</v>
      </c>
      <c r="H5" s="79" t="s">
        <v>223</v>
      </c>
      <c r="I5" s="79" t="s">
        <v>224</v>
      </c>
    </row>
    <row r="6" spans="1:14" x14ac:dyDescent="0.25">
      <c r="A6" s="79"/>
      <c r="B6" s="79"/>
      <c r="C6" s="79"/>
      <c r="D6" s="79"/>
      <c r="E6" s="79"/>
      <c r="F6" s="77"/>
      <c r="G6" s="77"/>
      <c r="H6" s="79"/>
      <c r="I6" s="79"/>
    </row>
    <row r="7" spans="1:14" x14ac:dyDescent="0.25">
      <c r="A7" s="79"/>
      <c r="B7" s="79"/>
      <c r="C7" s="79"/>
      <c r="D7" s="79"/>
      <c r="E7" s="79"/>
      <c r="F7" s="78"/>
      <c r="G7" s="78"/>
      <c r="H7" s="79"/>
      <c r="I7" s="79"/>
    </row>
    <row r="8" spans="1:14" x14ac:dyDescent="0.25">
      <c r="A8">
        <v>1</v>
      </c>
      <c r="B8" s="20">
        <v>44761</v>
      </c>
      <c r="C8" s="57" t="s">
        <v>268</v>
      </c>
      <c r="D8" t="s">
        <v>231</v>
      </c>
      <c r="E8" t="s">
        <v>1</v>
      </c>
      <c r="G8" t="s">
        <v>352</v>
      </c>
      <c r="H8" t="s">
        <v>355</v>
      </c>
      <c r="I8" t="s">
        <v>357</v>
      </c>
    </row>
    <row r="9" spans="1:14" x14ac:dyDescent="0.25">
      <c r="A9">
        <v>2</v>
      </c>
      <c r="B9" s="20">
        <v>44761</v>
      </c>
      <c r="C9" s="57" t="s">
        <v>268</v>
      </c>
      <c r="D9" t="s">
        <v>231</v>
      </c>
      <c r="E9" t="s">
        <v>1</v>
      </c>
      <c r="G9" t="s">
        <v>352</v>
      </c>
      <c r="H9" t="s">
        <v>355</v>
      </c>
      <c r="I9" t="s">
        <v>383</v>
      </c>
    </row>
    <row r="10" spans="1:14" x14ac:dyDescent="0.25">
      <c r="A10">
        <v>3</v>
      </c>
      <c r="B10" s="20">
        <v>44761</v>
      </c>
      <c r="C10" s="57" t="s">
        <v>268</v>
      </c>
      <c r="D10" t="s">
        <v>231</v>
      </c>
      <c r="E10" t="s">
        <v>1</v>
      </c>
      <c r="G10" t="s">
        <v>352</v>
      </c>
      <c r="H10" t="s">
        <v>355</v>
      </c>
      <c r="I10" t="s">
        <v>346</v>
      </c>
    </row>
    <row r="11" spans="1:14" x14ac:dyDescent="0.25">
      <c r="A11">
        <v>4</v>
      </c>
      <c r="B11" s="20">
        <v>44761</v>
      </c>
      <c r="C11" s="57" t="s">
        <v>268</v>
      </c>
      <c r="D11" t="s">
        <v>231</v>
      </c>
      <c r="E11" t="s">
        <v>1</v>
      </c>
      <c r="G11" t="s">
        <v>352</v>
      </c>
      <c r="H11" t="s">
        <v>355</v>
      </c>
      <c r="I11" t="s">
        <v>367</v>
      </c>
    </row>
    <row r="12" spans="1:14" x14ac:dyDescent="0.25">
      <c r="A12">
        <v>5</v>
      </c>
      <c r="B12" s="20">
        <v>44761</v>
      </c>
      <c r="C12" s="57" t="s">
        <v>266</v>
      </c>
      <c r="D12" t="s">
        <v>362</v>
      </c>
      <c r="E12" t="s">
        <v>0</v>
      </c>
      <c r="F12" t="s">
        <v>361</v>
      </c>
      <c r="G12" t="s">
        <v>359</v>
      </c>
      <c r="H12" t="s">
        <v>364</v>
      </c>
      <c r="I12" t="s">
        <v>367</v>
      </c>
    </row>
    <row r="13" spans="1:14" x14ac:dyDescent="0.25">
      <c r="A13">
        <v>6</v>
      </c>
      <c r="B13" s="20">
        <v>44761</v>
      </c>
      <c r="C13" s="57" t="s">
        <v>267</v>
      </c>
      <c r="D13" t="s">
        <v>372</v>
      </c>
      <c r="E13" t="s">
        <v>0</v>
      </c>
      <c r="F13" t="s">
        <v>371</v>
      </c>
      <c r="G13" t="s">
        <v>350</v>
      </c>
      <c r="H13" t="s">
        <v>373</v>
      </c>
      <c r="I13" t="s">
        <v>346</v>
      </c>
    </row>
    <row r="14" spans="1:14" x14ac:dyDescent="0.25">
      <c r="A14">
        <v>7</v>
      </c>
      <c r="B14" s="20">
        <v>44761</v>
      </c>
      <c r="C14" s="57" t="s">
        <v>241</v>
      </c>
      <c r="D14" t="s">
        <v>362</v>
      </c>
      <c r="E14" t="s">
        <v>44</v>
      </c>
      <c r="F14" t="s">
        <v>374</v>
      </c>
      <c r="G14" t="s">
        <v>375</v>
      </c>
      <c r="H14" t="s">
        <v>378</v>
      </c>
    </row>
    <row r="15" spans="1:14" x14ac:dyDescent="0.25">
      <c r="A15">
        <v>8</v>
      </c>
      <c r="B15" s="20">
        <v>44762</v>
      </c>
      <c r="C15" s="57" t="s">
        <v>325</v>
      </c>
      <c r="D15" t="s">
        <v>379</v>
      </c>
      <c r="E15" t="s">
        <v>1</v>
      </c>
      <c r="F15">
        <v>20004</v>
      </c>
      <c r="G15">
        <v>2004</v>
      </c>
      <c r="H15" t="s">
        <v>380</v>
      </c>
      <c r="I15" t="s">
        <v>367</v>
      </c>
    </row>
    <row r="16" spans="1:14" x14ac:dyDescent="0.25">
      <c r="A16">
        <v>9</v>
      </c>
      <c r="B16" s="20">
        <v>44762</v>
      </c>
      <c r="C16" s="57" t="s">
        <v>250</v>
      </c>
      <c r="D16" t="s">
        <v>372</v>
      </c>
      <c r="E16" t="s">
        <v>1</v>
      </c>
      <c r="F16" t="s">
        <v>391</v>
      </c>
      <c r="G16" t="s">
        <v>388</v>
      </c>
      <c r="H16">
        <v>2</v>
      </c>
      <c r="I16" t="s">
        <v>367</v>
      </c>
    </row>
    <row r="17" spans="1:9" x14ac:dyDescent="0.25">
      <c r="A17">
        <v>10</v>
      </c>
      <c r="B17" s="20">
        <v>44763</v>
      </c>
      <c r="C17" s="57" t="s">
        <v>245</v>
      </c>
      <c r="D17" t="s">
        <v>231</v>
      </c>
      <c r="E17" t="s">
        <v>42</v>
      </c>
      <c r="F17" t="s">
        <v>222</v>
      </c>
      <c r="G17" t="s">
        <v>202</v>
      </c>
      <c r="H17" t="s">
        <v>394</v>
      </c>
      <c r="I17" t="s">
        <v>367</v>
      </c>
    </row>
    <row r="18" spans="1:9" s="57" customFormat="1" ht="60" x14ac:dyDescent="0.25">
      <c r="A18" s="57">
        <v>11</v>
      </c>
      <c r="B18" s="68">
        <v>44763</v>
      </c>
      <c r="C18" s="56" t="s">
        <v>396</v>
      </c>
      <c r="D18" s="57" t="s">
        <v>231</v>
      </c>
      <c r="E18" s="57" t="s">
        <v>1</v>
      </c>
      <c r="F18" s="57">
        <v>654</v>
      </c>
      <c r="G18" s="57">
        <v>6551516</v>
      </c>
      <c r="H18" s="57">
        <v>616561</v>
      </c>
      <c r="I18" s="57" t="s">
        <v>367</v>
      </c>
    </row>
    <row r="19" spans="1:9" x14ac:dyDescent="0.25">
      <c r="A19">
        <v>12</v>
      </c>
      <c r="B19" s="20">
        <v>44764</v>
      </c>
      <c r="C19" s="57" t="s">
        <v>251</v>
      </c>
      <c r="D19" t="s">
        <v>379</v>
      </c>
      <c r="E19" t="s">
        <v>44</v>
      </c>
      <c r="F19">
        <v>1140</v>
      </c>
      <c r="G19">
        <v>210</v>
      </c>
      <c r="H19" t="s">
        <v>398</v>
      </c>
      <c r="I19" t="s">
        <v>367</v>
      </c>
    </row>
    <row r="20" spans="1:9" x14ac:dyDescent="0.25">
      <c r="A20">
        <v>13</v>
      </c>
      <c r="B20" s="20">
        <v>44764</v>
      </c>
      <c r="C20" s="57" t="s">
        <v>259</v>
      </c>
      <c r="D20" t="s">
        <v>231</v>
      </c>
      <c r="E20" t="s">
        <v>1</v>
      </c>
      <c r="F20">
        <v>225478</v>
      </c>
      <c r="G20">
        <v>22351</v>
      </c>
      <c r="H20" t="s">
        <v>223</v>
      </c>
      <c r="I20" t="s">
        <v>383</v>
      </c>
    </row>
    <row r="21" spans="1:9" x14ac:dyDescent="0.25">
      <c r="A21">
        <v>14</v>
      </c>
      <c r="B21" s="20">
        <v>44767</v>
      </c>
      <c r="C21" t="s">
        <v>314</v>
      </c>
      <c r="D21" t="s">
        <v>362</v>
      </c>
      <c r="E21" t="s">
        <v>1</v>
      </c>
      <c r="F21">
        <v>62104</v>
      </c>
      <c r="G21">
        <v>22014</v>
      </c>
      <c r="H21" t="s">
        <v>410</v>
      </c>
      <c r="I21" t="s">
        <v>367</v>
      </c>
    </row>
    <row r="22" spans="1:9" x14ac:dyDescent="0.25">
      <c r="A22">
        <v>15</v>
      </c>
      <c r="B22" s="20">
        <v>44769</v>
      </c>
      <c r="C22" t="s">
        <v>289</v>
      </c>
      <c r="D22" t="s">
        <v>372</v>
      </c>
      <c r="E22" t="s">
        <v>1</v>
      </c>
      <c r="F22" t="s">
        <v>415</v>
      </c>
      <c r="G22" t="s">
        <v>412</v>
      </c>
      <c r="H22" t="s">
        <v>417</v>
      </c>
      <c r="I22" t="s">
        <v>367</v>
      </c>
    </row>
    <row r="23" spans="1:9" x14ac:dyDescent="0.25">
      <c r="A23">
        <v>16</v>
      </c>
      <c r="B23" s="20">
        <v>44762</v>
      </c>
      <c r="C23" t="s">
        <v>325</v>
      </c>
      <c r="D23" t="s">
        <v>379</v>
      </c>
      <c r="E23" t="s">
        <v>1</v>
      </c>
      <c r="F23">
        <v>20004</v>
      </c>
      <c r="G23">
        <v>2004</v>
      </c>
      <c r="H23" t="s">
        <v>380</v>
      </c>
      <c r="I23" t="s">
        <v>367</v>
      </c>
    </row>
    <row r="24" spans="1:9" x14ac:dyDescent="0.25">
      <c r="A24">
        <v>17</v>
      </c>
      <c r="B24" s="20">
        <v>44764</v>
      </c>
      <c r="C24" t="s">
        <v>251</v>
      </c>
      <c r="D24" t="s">
        <v>379</v>
      </c>
      <c r="E24" t="s">
        <v>44</v>
      </c>
      <c r="F24">
        <v>1140</v>
      </c>
      <c r="G24">
        <v>210</v>
      </c>
      <c r="H24" t="s">
        <v>398</v>
      </c>
      <c r="I24" t="s">
        <v>367</v>
      </c>
    </row>
    <row r="25" spans="1:9" x14ac:dyDescent="0.25">
      <c r="A25">
        <v>18</v>
      </c>
      <c r="B25" s="20">
        <v>44767</v>
      </c>
      <c r="C25" t="s">
        <v>314</v>
      </c>
      <c r="D25" t="s">
        <v>424</v>
      </c>
      <c r="E25" t="s">
        <v>1</v>
      </c>
      <c r="F25">
        <v>62104</v>
      </c>
      <c r="G25">
        <v>22014</v>
      </c>
      <c r="H25" t="s">
        <v>410</v>
      </c>
      <c r="I25" t="s">
        <v>367</v>
      </c>
    </row>
    <row r="26" spans="1:9" x14ac:dyDescent="0.25">
      <c r="A26">
        <v>19</v>
      </c>
      <c r="B26" s="20">
        <v>44769</v>
      </c>
      <c r="C26" t="s">
        <v>289</v>
      </c>
      <c r="D26" t="s">
        <v>424</v>
      </c>
      <c r="E26" t="s">
        <v>1</v>
      </c>
      <c r="F26" t="s">
        <v>415</v>
      </c>
      <c r="G26" t="s">
        <v>412</v>
      </c>
      <c r="H26" t="s">
        <v>417</v>
      </c>
      <c r="I26" t="s">
        <v>367</v>
      </c>
    </row>
    <row r="27" spans="1:9" x14ac:dyDescent="0.25">
      <c r="A27">
        <v>20</v>
      </c>
      <c r="B27" s="20">
        <v>44762</v>
      </c>
      <c r="C27" t="s">
        <v>325</v>
      </c>
      <c r="D27" t="s">
        <v>424</v>
      </c>
      <c r="E27" t="s">
        <v>1</v>
      </c>
      <c r="F27">
        <v>20004</v>
      </c>
      <c r="G27">
        <v>2004</v>
      </c>
      <c r="H27" t="s">
        <v>380</v>
      </c>
      <c r="I27" t="s">
        <v>367</v>
      </c>
    </row>
    <row r="28" spans="1:9" x14ac:dyDescent="0.25">
      <c r="A28">
        <v>21</v>
      </c>
      <c r="B28" s="20">
        <v>44764</v>
      </c>
      <c r="C28" t="s">
        <v>251</v>
      </c>
      <c r="D28" t="s">
        <v>424</v>
      </c>
      <c r="E28" t="s">
        <v>44</v>
      </c>
      <c r="F28">
        <v>1140</v>
      </c>
      <c r="G28">
        <v>210</v>
      </c>
      <c r="H28" t="s">
        <v>398</v>
      </c>
      <c r="I28" t="s">
        <v>367</v>
      </c>
    </row>
  </sheetData>
  <mergeCells count="11">
    <mergeCell ref="A2:I2"/>
    <mergeCell ref="F5:F7"/>
    <mergeCell ref="G5:G7"/>
    <mergeCell ref="I5:I7"/>
    <mergeCell ref="A3:C3"/>
    <mergeCell ref="E5:E7"/>
    <mergeCell ref="D5:D7"/>
    <mergeCell ref="C5:C7"/>
    <mergeCell ref="B5:B7"/>
    <mergeCell ref="A5:A7"/>
    <mergeCell ref="H5:H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9</xdr:col>
                <xdr:colOff>266700</xdr:colOff>
                <xdr:row>9</xdr:row>
                <xdr:rowOff>180975</xdr:rowOff>
              </from>
              <to>
                <xdr:col>12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9</xdr:col>
                <xdr:colOff>266700</xdr:colOff>
                <xdr:row>15</xdr:row>
                <xdr:rowOff>66675</xdr:rowOff>
              </from>
              <to>
                <xdr:col>12</xdr:col>
                <xdr:colOff>257175</xdr:colOff>
                <xdr:row>17</xdr:row>
                <xdr:rowOff>638175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D623C-F3CA-41ED-A13D-80165E25492C}">
  <sheetPr codeName="Sheet5"/>
  <dimension ref="A2:V67"/>
  <sheetViews>
    <sheetView topLeftCell="A30" zoomScale="70" zoomScaleNormal="70" workbookViewId="0">
      <selection activeCell="C72" sqref="C72"/>
    </sheetView>
  </sheetViews>
  <sheetFormatPr defaultRowHeight="15" x14ac:dyDescent="0.25"/>
  <cols>
    <col min="1" max="1" width="15.7109375" style="22" customWidth="1"/>
    <col min="2" max="3" width="15.7109375" customWidth="1"/>
    <col min="20" max="20" width="16.85546875" bestFit="1" customWidth="1"/>
    <col min="21" max="22" width="10.7109375" customWidth="1"/>
  </cols>
  <sheetData>
    <row r="2" spans="1:22" x14ac:dyDescent="0.25">
      <c r="T2" s="81" t="s">
        <v>302</v>
      </c>
      <c r="U2" s="81"/>
      <c r="V2" s="81"/>
    </row>
    <row r="3" spans="1:22" x14ac:dyDescent="0.25">
      <c r="A3" s="66" t="s">
        <v>204</v>
      </c>
      <c r="B3" s="65" t="s">
        <v>238</v>
      </c>
      <c r="C3" s="65" t="s">
        <v>239</v>
      </c>
      <c r="T3" s="66" t="s">
        <v>204</v>
      </c>
      <c r="U3" s="65" t="s">
        <v>238</v>
      </c>
      <c r="V3" s="65" t="s">
        <v>239</v>
      </c>
    </row>
    <row r="4" spans="1:22" x14ac:dyDescent="0.25">
      <c r="A4" s="24" t="s">
        <v>211</v>
      </c>
      <c r="B4" s="24">
        <f>COUNTIFS(DataReport!D:D,A4,DataReport!R:R,"PLAN")</f>
        <v>1</v>
      </c>
      <c r="C4" s="24">
        <f>COUNTIFS(DataReport!D:D,A4,DataReport!R:R,"UNPLAN")</f>
        <v>3</v>
      </c>
      <c r="T4" s="24" t="s">
        <v>211</v>
      </c>
      <c r="U4" s="24">
        <f>COUNTIFS(DataReport!$O:$O,$T$2,DataReport!$D:$D,Status!T4,DataReport!$R:$R,$U$3)</f>
        <v>1</v>
      </c>
      <c r="V4" s="24">
        <f>COUNTIFS(DataReport!$O:$O,$T$2,DataReport!$D:$D,Status!T4,DataReport!$R:$R,$V$3)</f>
        <v>0</v>
      </c>
    </row>
    <row r="5" spans="1:22" x14ac:dyDescent="0.25">
      <c r="A5" s="24" t="s">
        <v>217</v>
      </c>
      <c r="B5" s="24">
        <f>COUNTIFS(DataReport!D:D,A5,DataReport!R:R,"PLAN")</f>
        <v>2</v>
      </c>
      <c r="C5" s="24">
        <f>COUNTIFS(DataReport!D:D,A5,DataReport!R:R,"UNPLAN")</f>
        <v>0</v>
      </c>
      <c r="T5" s="24" t="s">
        <v>217</v>
      </c>
      <c r="U5" s="24">
        <f>COUNTIFS(DataReport!$O:$O,$T$2,DataReport!$D:$D,Status!T5,DataReport!$R:$R,$U$3)</f>
        <v>1</v>
      </c>
      <c r="V5" s="24">
        <f>COUNTIFS(DataReport!$O:$O,$T$2,DataReport!$D:$D,Status!T5,DataReport!$R:$R,$V$3)</f>
        <v>0</v>
      </c>
    </row>
    <row r="6" spans="1:22" x14ac:dyDescent="0.25">
      <c r="A6" s="24" t="s">
        <v>216</v>
      </c>
      <c r="B6" s="24">
        <f>COUNTIFS(DataReport!D:D,A6,DataReport!R:R,"PLAN")</f>
        <v>3</v>
      </c>
      <c r="C6" s="24">
        <f>COUNTIFS(DataReport!D:D,A6,DataReport!R:R,"UNPLAN")</f>
        <v>8</v>
      </c>
      <c r="T6" s="24" t="s">
        <v>216</v>
      </c>
      <c r="U6" s="24">
        <f>COUNTIFS(DataReport!$O:$O,$T$2,DataReport!$D:$D,Status!T6,DataReport!$R:$R,$U$3)</f>
        <v>0</v>
      </c>
      <c r="V6" s="24">
        <f>COUNTIFS(DataReport!$O:$O,$T$2,DataReport!$D:$D,Status!T6,DataReport!$R:$R,$V$3)</f>
        <v>1</v>
      </c>
    </row>
    <row r="7" spans="1:22" x14ac:dyDescent="0.25">
      <c r="A7" s="24" t="s">
        <v>225</v>
      </c>
      <c r="B7" s="24">
        <f>COUNTIFS(DataReport!D:D,A7,DataReport!R:R,"PLAN")</f>
        <v>0</v>
      </c>
      <c r="C7" s="24">
        <f>COUNTIFS(DataReport!D:D,A7,DataReport!R:R,"UNPLAN")</f>
        <v>1</v>
      </c>
      <c r="T7" s="24" t="s">
        <v>225</v>
      </c>
      <c r="U7" s="24">
        <f>COUNTIFS(DataReport!$O:$O,$T$2,DataReport!$D:$D,Status!T7,DataReport!$R:$R,$U$3)</f>
        <v>0</v>
      </c>
      <c r="V7" s="24">
        <f>COUNTIFS(DataReport!$O:$O,$T$2,DataReport!$D:$D,Status!T7,DataReport!$R:$R,$V$3)</f>
        <v>0</v>
      </c>
    </row>
    <row r="8" spans="1:22" x14ac:dyDescent="0.25">
      <c r="A8" s="24" t="s">
        <v>226</v>
      </c>
      <c r="B8" s="24">
        <f>COUNTIFS(DataReport!D:D,A8,DataReport!R:R,"PLAN")</f>
        <v>1</v>
      </c>
      <c r="C8" s="24">
        <f>COUNTIFS(DataReport!D:D,A8,DataReport!R:R,"UNPLAN")</f>
        <v>2</v>
      </c>
      <c r="T8" s="24" t="s">
        <v>226</v>
      </c>
      <c r="U8" s="24">
        <f>COUNTIFS(DataReport!$O:$O,$T$2,DataReport!$D:$D,Status!T8,DataReport!$R:$R,$U$3)</f>
        <v>0</v>
      </c>
      <c r="V8" s="24">
        <f>COUNTIFS(DataReport!$O:$O,$T$2,DataReport!$D:$D,Status!T8,DataReport!$R:$R,$V$3)</f>
        <v>0</v>
      </c>
    </row>
    <row r="9" spans="1:22" x14ac:dyDescent="0.25">
      <c r="A9" s="24" t="s">
        <v>227</v>
      </c>
      <c r="B9" s="24">
        <f>SUM(B4:B8)</f>
        <v>7</v>
      </c>
      <c r="C9" s="24">
        <f>SUM(C4:C8)</f>
        <v>14</v>
      </c>
      <c r="T9" s="24" t="s">
        <v>227</v>
      </c>
      <c r="U9" s="24">
        <f>SUM(U4:U8)</f>
        <v>2</v>
      </c>
      <c r="V9" s="24">
        <f>SUM(V4:V8)</f>
        <v>1</v>
      </c>
    </row>
    <row r="12" spans="1:22" x14ac:dyDescent="0.25">
      <c r="A12"/>
    </row>
    <row r="13" spans="1:22" x14ac:dyDescent="0.25">
      <c r="A13"/>
    </row>
    <row r="14" spans="1:22" x14ac:dyDescent="0.25">
      <c r="A14"/>
    </row>
    <row r="15" spans="1:22" x14ac:dyDescent="0.25">
      <c r="A15"/>
    </row>
    <row r="16" spans="1:22" x14ac:dyDescent="0.25">
      <c r="A16"/>
    </row>
    <row r="17" spans="1:22" x14ac:dyDescent="0.25">
      <c r="A17"/>
    </row>
    <row r="18" spans="1:22" x14ac:dyDescent="0.25">
      <c r="A18"/>
    </row>
    <row r="19" spans="1:22" x14ac:dyDescent="0.25">
      <c r="A19"/>
    </row>
    <row r="30" spans="1:22" x14ac:dyDescent="0.25">
      <c r="T30" s="81" t="s">
        <v>423</v>
      </c>
      <c r="U30" s="81"/>
      <c r="V30" s="81"/>
    </row>
    <row r="31" spans="1:22" x14ac:dyDescent="0.25">
      <c r="A31" s="81" t="s">
        <v>232</v>
      </c>
      <c r="B31" s="81"/>
      <c r="C31" s="81"/>
      <c r="T31" s="66" t="s">
        <v>204</v>
      </c>
      <c r="U31" s="65" t="s">
        <v>238</v>
      </c>
      <c r="V31" s="65" t="s">
        <v>239</v>
      </c>
    </row>
    <row r="32" spans="1:22" x14ac:dyDescent="0.25">
      <c r="A32" s="66" t="s">
        <v>204</v>
      </c>
      <c r="B32" s="65" t="s">
        <v>238</v>
      </c>
      <c r="C32" s="65" t="s">
        <v>239</v>
      </c>
      <c r="T32" s="24" t="s">
        <v>211</v>
      </c>
      <c r="U32" s="24">
        <f>COUNTIFS(DataReport!$O:$O,$T$30,DataReport!$D:$D,Status!T32,DataReport!$R:$R,$U$31)</f>
        <v>0</v>
      </c>
      <c r="V32" s="24">
        <f>COUNTIFS(DataReport!$O:$O,$T$30,DataReport!$D:$D,Status!T32,DataReport!$R:$R,$V$31)</f>
        <v>0</v>
      </c>
    </row>
    <row r="33" spans="1:22" x14ac:dyDescent="0.25">
      <c r="A33" s="24" t="s">
        <v>211</v>
      </c>
      <c r="B33" s="24">
        <f>COUNTIFS(DataReport!$O:$O,$A$31,DataReport!$D:$D,Status!A33,DataReport!R:R,Status!$B$32)</f>
        <v>0</v>
      </c>
      <c r="C33" s="24">
        <f>COUNTIFS(DataReport!$O:$O,Status!$A$31,DataReport!$D:$D,Status!A33,DataReport!R:R,Status!$C$32)</f>
        <v>3</v>
      </c>
      <c r="T33" s="24" t="s">
        <v>217</v>
      </c>
      <c r="U33" s="24">
        <f>COUNTIFS(DataReport!$O:$O,$T$30,DataReport!$D:$D,Status!T33,DataReport!$R:$R,$U$31)</f>
        <v>0</v>
      </c>
      <c r="V33" s="24">
        <f>COUNTIFS(DataReport!$O:$O,$T$30,DataReport!$D:$D,Status!T33,DataReport!$R:$R,$V$31)</f>
        <v>0</v>
      </c>
    </row>
    <row r="34" spans="1:22" x14ac:dyDescent="0.25">
      <c r="A34" s="24" t="s">
        <v>217</v>
      </c>
      <c r="B34" s="24">
        <f>COUNTIFS(DataReport!$O:$O,$A$31,DataReport!$D:$D,Status!A34,DataReport!R:R,Status!$B$32)</f>
        <v>0</v>
      </c>
      <c r="C34" s="24">
        <f>COUNTIFS(DataReport!$O:$O,Status!$A$31,DataReport!$D:$D,Status!A34,DataReport!R:R,Status!$C$32)</f>
        <v>0</v>
      </c>
      <c r="T34" s="24" t="s">
        <v>216</v>
      </c>
      <c r="U34" s="24">
        <f>COUNTIFS(DataReport!$O:$O,$T$30,DataReport!$D:$D,Status!T34,DataReport!$R:$R,$U$31)</f>
        <v>1</v>
      </c>
      <c r="V34" s="24">
        <f>COUNTIFS(DataReport!$O:$O,$T$30,DataReport!$D:$D,Status!T34,DataReport!$R:$R,$V$31)</f>
        <v>1</v>
      </c>
    </row>
    <row r="35" spans="1:22" x14ac:dyDescent="0.25">
      <c r="A35" s="24" t="s">
        <v>216</v>
      </c>
      <c r="B35" s="24">
        <f>COUNTIFS(DataReport!$O:$O,$A$31,DataReport!$D:$D,Status!A35,DataReport!R:R,Status!$B$32)</f>
        <v>1</v>
      </c>
      <c r="C35" s="24">
        <f>COUNTIFS(DataReport!$O:$O,Status!$A$31,DataReport!$D:$D,Status!A35,DataReport!R:R,Status!$C$32)</f>
        <v>2</v>
      </c>
      <c r="T35" s="24" t="s">
        <v>225</v>
      </c>
      <c r="U35" s="24">
        <f>COUNTIFS(DataReport!$O:$O,$T$30,DataReport!$D:$D,Status!T35,DataReport!$R:$R,$U$31)</f>
        <v>0</v>
      </c>
      <c r="V35" s="24">
        <f>COUNTIFS(DataReport!$O:$O,$T$30,DataReport!$D:$D,Status!T35,DataReport!$R:$R,$V$31)</f>
        <v>0</v>
      </c>
    </row>
    <row r="36" spans="1:22" x14ac:dyDescent="0.25">
      <c r="A36" s="24" t="s">
        <v>225</v>
      </c>
      <c r="B36" s="24">
        <f>COUNTIFS(DataReport!$O:$O,$A$31,DataReport!$D:$D,Status!A36,DataReport!R:R,Status!$B$32)</f>
        <v>0</v>
      </c>
      <c r="C36" s="24">
        <f>COUNTIFS(DataReport!$O:$O,Status!$A$31,DataReport!$D:$D,Status!A36,DataReport!R:R,Status!$C$32)</f>
        <v>1</v>
      </c>
      <c r="T36" s="24" t="s">
        <v>226</v>
      </c>
      <c r="U36" s="24">
        <f>COUNTIFS(DataReport!$O:$O,$T$30,DataReport!$D:$D,Status!T36,DataReport!$R:$R,$U$31)</f>
        <v>1</v>
      </c>
      <c r="V36" s="24">
        <f>COUNTIFS(DataReport!$O:$O,$T$30,DataReport!$D:$D,Status!T36,DataReport!$R:$R,$V$31)</f>
        <v>1</v>
      </c>
    </row>
    <row r="37" spans="1:22" x14ac:dyDescent="0.25">
      <c r="A37" s="24" t="s">
        <v>226</v>
      </c>
      <c r="B37" s="24">
        <f>COUNTIFS(DataReport!$O:$O,$A$31,DataReport!$D:$D,Status!A37,DataReport!R:R,Status!$B$32)</f>
        <v>0</v>
      </c>
      <c r="C37" s="24">
        <f>COUNTIFS(DataReport!$O:$O,Status!$A$31,DataReport!$D:$D,Status!A37,DataReport!R:R,Status!$C$32)</f>
        <v>0</v>
      </c>
      <c r="T37" s="24" t="s">
        <v>227</v>
      </c>
      <c r="U37" s="24">
        <f>SUM(U32:U36)</f>
        <v>2</v>
      </c>
      <c r="V37" s="24">
        <f>SUM(V32:V36)</f>
        <v>2</v>
      </c>
    </row>
    <row r="38" spans="1:22" x14ac:dyDescent="0.25">
      <c r="A38" s="24" t="s">
        <v>227</v>
      </c>
      <c r="B38" s="24">
        <f>SUM(B33:B37)</f>
        <v>1</v>
      </c>
      <c r="C38" s="24">
        <f>SUM(C33:C37)</f>
        <v>6</v>
      </c>
    </row>
    <row r="44" spans="1:22" x14ac:dyDescent="0.25">
      <c r="K44">
        <v>100</v>
      </c>
    </row>
    <row r="58" spans="1:22" x14ac:dyDescent="0.25">
      <c r="A58" s="81" t="s">
        <v>277</v>
      </c>
      <c r="B58" s="81"/>
      <c r="C58" s="81"/>
    </row>
    <row r="59" spans="1:22" x14ac:dyDescent="0.25">
      <c r="A59" s="66" t="s">
        <v>204</v>
      </c>
      <c r="B59" s="65" t="s">
        <v>238</v>
      </c>
      <c r="C59" s="65" t="s">
        <v>239</v>
      </c>
    </row>
    <row r="60" spans="1:22" x14ac:dyDescent="0.25">
      <c r="A60" s="24" t="s">
        <v>211</v>
      </c>
      <c r="B60" s="24">
        <f>COUNTIFS(DataReport!$O:$O,$A$58,DataReport!$D:$D,Status!A60,DataReport!$R:$R,Status!$B$59)</f>
        <v>0</v>
      </c>
      <c r="C60" s="24">
        <f>COUNTIFS(DataReport!$O:$O,Status!$A$58,DataReport!$D:$D,Status!A60,DataReport!$R:$R,Status!$C$59)</f>
        <v>0</v>
      </c>
      <c r="T60" s="81" t="s">
        <v>333</v>
      </c>
      <c r="U60" s="81"/>
      <c r="V60" s="81"/>
    </row>
    <row r="61" spans="1:22" x14ac:dyDescent="0.25">
      <c r="A61" s="24" t="s">
        <v>217</v>
      </c>
      <c r="B61" s="24">
        <f>COUNTIFS(DataReport!$O:$O,$A$58,DataReport!$D:$D,Status!A61,DataReport!$R:$R,Status!$B$59)</f>
        <v>1</v>
      </c>
      <c r="C61" s="24">
        <f>COUNTIFS(DataReport!$O:$O,Status!$A$58,DataReport!$D:$D,Status!A61,DataReport!$R:$R,Status!$C$59)</f>
        <v>0</v>
      </c>
      <c r="T61" s="66" t="s">
        <v>204</v>
      </c>
      <c r="U61" s="65" t="s">
        <v>238</v>
      </c>
      <c r="V61" s="65" t="s">
        <v>239</v>
      </c>
    </row>
    <row r="62" spans="1:22" x14ac:dyDescent="0.25">
      <c r="A62" s="24" t="s">
        <v>216</v>
      </c>
      <c r="B62" s="24">
        <f>COUNTIFS(DataReport!$O:$O,$A$58,DataReport!$D:$D,Status!A62,DataReport!$R:$R,Status!$B$59)</f>
        <v>1</v>
      </c>
      <c r="C62" s="24">
        <f>COUNTIFS(DataReport!$O:$O,Status!$A$58,DataReport!$D:$D,Status!A62,DataReport!$R:$R,Status!$C$59)</f>
        <v>1</v>
      </c>
      <c r="T62" s="24" t="s">
        <v>211</v>
      </c>
      <c r="U62" s="24">
        <f>COUNTIFS(DataReport!$O:$O,$T$60,DataReport!$D:$D,Status!T62,DataReport!$R:$R,$U$61)</f>
        <v>0</v>
      </c>
      <c r="V62" s="24">
        <f>COUNTIFS(DataReport!$O:$O,$T$60,DataReport!$D:$D,Status!T62,DataReport!$R:$R,$V$61)</f>
        <v>0</v>
      </c>
    </row>
    <row r="63" spans="1:22" x14ac:dyDescent="0.25">
      <c r="A63" s="24" t="s">
        <v>225</v>
      </c>
      <c r="B63" s="24">
        <f>COUNTIFS(DataReport!$O:$O,$A$58,DataReport!$D:$D,Status!A63,DataReport!$R:$R,Status!$B$59)</f>
        <v>0</v>
      </c>
      <c r="C63" s="24">
        <f>COUNTIFS(DataReport!$O:$O,Status!$A$58,DataReport!$D:$D,Status!A63,DataReport!$R:$R,Status!$C$59)</f>
        <v>0</v>
      </c>
      <c r="T63" s="24" t="s">
        <v>217</v>
      </c>
      <c r="U63" s="24">
        <f>COUNTIFS(DataReport!$O:$O,$T$60,DataReport!$D:$D,Status!T63,DataReport!$R:$R,$U$61)</f>
        <v>0</v>
      </c>
      <c r="V63" s="24">
        <f>COUNTIFS(DataReport!$O:$O,$T$60,DataReport!$D:$D,Status!T63,DataReport!$R:$R,$V$61)</f>
        <v>0</v>
      </c>
    </row>
    <row r="64" spans="1:22" x14ac:dyDescent="0.25">
      <c r="A64" s="24" t="s">
        <v>226</v>
      </c>
      <c r="B64" s="24">
        <f>COUNTIFS(DataReport!$O:$O,$A$58,DataReport!$D:$D,Status!A64,DataReport!$R:$R,Status!$B$59)</f>
        <v>0</v>
      </c>
      <c r="C64" s="24">
        <f>COUNTIFS(DataReport!$O:$O,Status!$A$58,DataReport!$D:$D,Status!A64,DataReport!$R:$R,Status!$C$59)</f>
        <v>0</v>
      </c>
      <c r="T64" s="24" t="s">
        <v>216</v>
      </c>
      <c r="U64" s="24">
        <f>COUNTIFS(DataReport!$O:$O,$T$60,DataReport!$D:$D,Status!T64,DataReport!$R:$R,$U$61)</f>
        <v>0</v>
      </c>
      <c r="V64" s="24">
        <f>COUNTIFS(DataReport!$O:$O,$T$60,DataReport!$D:$D,Status!T64,DataReport!$R:$R,$V$61)</f>
        <v>3</v>
      </c>
    </row>
    <row r="65" spans="1:22" x14ac:dyDescent="0.25">
      <c r="A65" s="24" t="s">
        <v>227</v>
      </c>
      <c r="B65" s="24">
        <f>SUM(B60:B64)</f>
        <v>2</v>
      </c>
      <c r="C65" s="24">
        <f>SUM(C60:C64)</f>
        <v>1</v>
      </c>
      <c r="T65" s="24" t="s">
        <v>225</v>
      </c>
      <c r="U65" s="24">
        <f>COUNTIFS(DataReport!$O:$O,$T$60,DataReport!$D:$D,Status!T65,DataReport!$R:$R,$U$61)</f>
        <v>0</v>
      </c>
      <c r="V65" s="24">
        <f>COUNTIFS(DataReport!$O:$O,$T$60,DataReport!$D:$D,Status!T65,DataReport!$R:$R,$V$61)</f>
        <v>0</v>
      </c>
    </row>
    <row r="66" spans="1:22" x14ac:dyDescent="0.25">
      <c r="T66" s="24" t="s">
        <v>226</v>
      </c>
      <c r="U66" s="24">
        <f>COUNTIFS(DataReport!$O:$O,$T$60,DataReport!$D:$D,Status!T66,DataReport!$R:$R,$U$61)</f>
        <v>0</v>
      </c>
      <c r="V66" s="24">
        <f>COUNTIFS(DataReport!$O:$O,$T$60,DataReport!$D:$D,Status!T66,DataReport!$R:$R,$V$61)</f>
        <v>1</v>
      </c>
    </row>
    <row r="67" spans="1:22" x14ac:dyDescent="0.25">
      <c r="T67" s="24" t="s">
        <v>227</v>
      </c>
      <c r="U67" s="24">
        <f>SUM(U62:U66)</f>
        <v>0</v>
      </c>
      <c r="V67" s="24">
        <f>SUM(V62:V66)</f>
        <v>4</v>
      </c>
    </row>
  </sheetData>
  <mergeCells count="5">
    <mergeCell ref="A31:C31"/>
    <mergeCell ref="A58:C58"/>
    <mergeCell ref="T2:V2"/>
    <mergeCell ref="T30:V30"/>
    <mergeCell ref="T60:V6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9CC5-4C89-4AC9-B599-D098965D3A5B}">
  <sheetPr codeName="Sheet3"/>
  <dimension ref="A1:AG46"/>
  <sheetViews>
    <sheetView topLeftCell="D1" zoomScale="85" zoomScaleNormal="85" workbookViewId="0">
      <selection activeCell="U41" sqref="U41"/>
    </sheetView>
  </sheetViews>
  <sheetFormatPr defaultRowHeight="15" x14ac:dyDescent="0.25"/>
  <cols>
    <col min="1" max="4" width="9.140625" customWidth="1"/>
    <col min="6" max="6" width="9.140625" customWidth="1"/>
    <col min="26" max="26" width="9.140625" style="50" customWidth="1"/>
  </cols>
  <sheetData>
    <row r="1" spans="1:33" x14ac:dyDescent="0.25">
      <c r="A1" s="82" t="s">
        <v>232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Q1" s="82" t="s">
        <v>277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G1" s="55" t="s">
        <v>343</v>
      </c>
    </row>
    <row r="2" spans="1:33" x14ac:dyDescent="0.25">
      <c r="A2" s="83" t="s">
        <v>233</v>
      </c>
      <c r="B2" s="84"/>
      <c r="C2" s="85"/>
      <c r="D2" s="86" t="s">
        <v>234</v>
      </c>
      <c r="E2" s="87"/>
      <c r="F2" s="88"/>
      <c r="G2" s="89" t="s">
        <v>235</v>
      </c>
      <c r="H2" s="90"/>
      <c r="I2" s="91"/>
      <c r="J2" s="95" t="s">
        <v>237</v>
      </c>
      <c r="K2" s="96"/>
      <c r="L2" s="96"/>
      <c r="M2" s="92" t="s">
        <v>236</v>
      </c>
      <c r="N2" s="93"/>
      <c r="O2" s="94"/>
      <c r="Q2" s="83" t="s">
        <v>233</v>
      </c>
      <c r="R2" s="84"/>
      <c r="S2" s="85"/>
      <c r="T2" s="86" t="s">
        <v>234</v>
      </c>
      <c r="U2" s="87"/>
      <c r="V2" s="88"/>
      <c r="W2" s="89" t="s">
        <v>235</v>
      </c>
      <c r="X2" s="90"/>
      <c r="Y2" s="91"/>
      <c r="Z2" s="95" t="s">
        <v>237</v>
      </c>
      <c r="AA2" s="96"/>
      <c r="AB2" s="96"/>
      <c r="AC2" s="92" t="s">
        <v>236</v>
      </c>
      <c r="AD2" s="93"/>
      <c r="AE2" s="94"/>
      <c r="AG2" s="23" t="s">
        <v>342</v>
      </c>
    </row>
    <row r="3" spans="1:33" x14ac:dyDescent="0.25">
      <c r="A3" s="23" t="s">
        <v>238</v>
      </c>
      <c r="B3" s="23" t="s">
        <v>239</v>
      </c>
      <c r="C3" s="23" t="s">
        <v>253</v>
      </c>
      <c r="D3" s="23" t="s">
        <v>238</v>
      </c>
      <c r="E3" s="23" t="s">
        <v>239</v>
      </c>
      <c r="F3" s="23" t="s">
        <v>253</v>
      </c>
      <c r="G3" s="23" t="s">
        <v>238</v>
      </c>
      <c r="H3" s="23" t="s">
        <v>239</v>
      </c>
      <c r="I3" s="23" t="s">
        <v>253</v>
      </c>
      <c r="J3" s="23" t="s">
        <v>238</v>
      </c>
      <c r="K3" s="23" t="s">
        <v>239</v>
      </c>
      <c r="L3" s="23" t="s">
        <v>253</v>
      </c>
      <c r="M3" s="23" t="s">
        <v>238</v>
      </c>
      <c r="N3" s="23" t="s">
        <v>239</v>
      </c>
      <c r="O3" s="23" t="s">
        <v>253</v>
      </c>
      <c r="Q3" s="23" t="s">
        <v>238</v>
      </c>
      <c r="R3" s="23" t="s">
        <v>239</v>
      </c>
      <c r="S3" s="23" t="s">
        <v>253</v>
      </c>
      <c r="T3" s="23" t="s">
        <v>238</v>
      </c>
      <c r="U3" s="23" t="s">
        <v>239</v>
      </c>
      <c r="V3" s="23" t="s">
        <v>253</v>
      </c>
      <c r="W3" s="23" t="s">
        <v>238</v>
      </c>
      <c r="X3" s="23" t="s">
        <v>239</v>
      </c>
      <c r="Y3" s="23" t="s">
        <v>253</v>
      </c>
      <c r="Z3" s="33" t="s">
        <v>238</v>
      </c>
      <c r="AA3" s="23" t="s">
        <v>239</v>
      </c>
      <c r="AB3" s="23" t="s">
        <v>253</v>
      </c>
      <c r="AC3" s="23" t="s">
        <v>238</v>
      </c>
      <c r="AD3" s="23" t="s">
        <v>239</v>
      </c>
      <c r="AE3" s="23" t="s">
        <v>253</v>
      </c>
    </row>
    <row r="4" spans="1:33" ht="13.5" customHeight="1" x14ac:dyDescent="0.25">
      <c r="A4" s="37" t="s">
        <v>241</v>
      </c>
      <c r="B4" s="42" t="s">
        <v>242</v>
      </c>
      <c r="C4" s="29" t="s">
        <v>254</v>
      </c>
      <c r="D4" s="29" t="s">
        <v>247</v>
      </c>
      <c r="E4" s="42" t="s">
        <v>256</v>
      </c>
      <c r="F4" s="32" t="s">
        <v>265</v>
      </c>
      <c r="G4" s="42" t="s">
        <v>266</v>
      </c>
      <c r="H4" s="42" t="s">
        <v>268</v>
      </c>
      <c r="I4" s="29"/>
      <c r="J4" s="42" t="s">
        <v>269</v>
      </c>
      <c r="K4" s="43" t="s">
        <v>272</v>
      </c>
      <c r="L4" s="30"/>
      <c r="M4" s="45" t="s">
        <v>274</v>
      </c>
      <c r="N4" s="34" t="s">
        <v>397</v>
      </c>
      <c r="O4" s="30"/>
      <c r="Q4" s="37" t="s">
        <v>241</v>
      </c>
      <c r="R4" s="42" t="s">
        <v>279</v>
      </c>
      <c r="S4" s="29" t="s">
        <v>254</v>
      </c>
      <c r="T4" s="29" t="s">
        <v>281</v>
      </c>
      <c r="U4" s="42" t="s">
        <v>284</v>
      </c>
      <c r="V4" s="32" t="s">
        <v>295</v>
      </c>
      <c r="W4" s="42" t="s">
        <v>266</v>
      </c>
      <c r="X4" s="42" t="s">
        <v>268</v>
      </c>
      <c r="Y4" s="29"/>
      <c r="Z4" s="42" t="s">
        <v>269</v>
      </c>
      <c r="AA4" s="42" t="s">
        <v>301</v>
      </c>
      <c r="AB4" s="29"/>
      <c r="AC4" s="48" t="s">
        <v>274</v>
      </c>
      <c r="AD4" s="32" t="s">
        <v>276</v>
      </c>
      <c r="AE4" s="29"/>
    </row>
    <row r="5" spans="1:33" ht="15" customHeight="1" x14ac:dyDescent="0.25">
      <c r="A5" s="31" t="s">
        <v>240</v>
      </c>
      <c r="B5" s="43" t="s">
        <v>243</v>
      </c>
      <c r="C5" s="30" t="s">
        <v>255</v>
      </c>
      <c r="D5" s="30" t="s">
        <v>248</v>
      </c>
      <c r="E5" s="43" t="s">
        <v>257</v>
      </c>
      <c r="F5" s="30" t="s">
        <v>264</v>
      </c>
      <c r="G5" s="43" t="s">
        <v>267</v>
      </c>
      <c r="H5" s="30"/>
      <c r="I5" s="30"/>
      <c r="J5" s="43" t="s">
        <v>270</v>
      </c>
      <c r="K5" s="43" t="s">
        <v>273</v>
      </c>
      <c r="L5" s="30"/>
      <c r="M5" s="43" t="s">
        <v>275</v>
      </c>
      <c r="N5" s="30"/>
      <c r="O5" s="30"/>
      <c r="Q5" s="31" t="s">
        <v>278</v>
      </c>
      <c r="R5" s="43" t="s">
        <v>244</v>
      </c>
      <c r="S5" s="30" t="s">
        <v>255</v>
      </c>
      <c r="T5" s="30" t="s">
        <v>282</v>
      </c>
      <c r="U5" s="43" t="s">
        <v>285</v>
      </c>
      <c r="V5" s="43" t="s">
        <v>299</v>
      </c>
      <c r="W5" s="43" t="s">
        <v>267</v>
      </c>
      <c r="X5" s="30"/>
      <c r="Y5" s="30"/>
      <c r="Z5" s="51" t="s">
        <v>270</v>
      </c>
      <c r="AA5" s="43"/>
      <c r="AB5" s="30"/>
      <c r="AC5" s="43" t="s">
        <v>275</v>
      </c>
      <c r="AD5" s="30"/>
      <c r="AE5" s="30"/>
    </row>
    <row r="6" spans="1:33" ht="15" customHeight="1" x14ac:dyDescent="0.25">
      <c r="A6" s="31"/>
      <c r="B6" s="43" t="s">
        <v>244</v>
      </c>
      <c r="C6" s="30"/>
      <c r="D6" s="30" t="s">
        <v>249</v>
      </c>
      <c r="E6" s="43" t="s">
        <v>258</v>
      </c>
      <c r="F6" s="30"/>
      <c r="G6" s="30"/>
      <c r="H6" s="30"/>
      <c r="I6" s="30"/>
      <c r="J6" s="43" t="s">
        <v>271</v>
      </c>
      <c r="K6" s="30"/>
      <c r="L6" s="30"/>
      <c r="M6" s="30"/>
      <c r="N6" s="30"/>
      <c r="O6" s="30"/>
      <c r="Q6" s="31"/>
      <c r="R6" s="43" t="s">
        <v>280</v>
      </c>
      <c r="S6" s="30"/>
      <c r="T6" s="30" t="s">
        <v>283</v>
      </c>
      <c r="U6" s="43" t="s">
        <v>286</v>
      </c>
      <c r="V6" s="43" t="s">
        <v>298</v>
      </c>
      <c r="W6" s="30"/>
      <c r="X6" s="30"/>
      <c r="Y6" s="30"/>
      <c r="Z6" s="51" t="s">
        <v>300</v>
      </c>
      <c r="AA6" s="43"/>
      <c r="AB6" s="30"/>
      <c r="AC6" s="30"/>
      <c r="AD6" s="30"/>
      <c r="AE6" s="30"/>
    </row>
    <row r="7" spans="1:33" x14ac:dyDescent="0.25">
      <c r="A7" s="31"/>
      <c r="B7" s="43" t="s">
        <v>245</v>
      </c>
      <c r="C7" s="30"/>
      <c r="D7" s="30" t="s">
        <v>250</v>
      </c>
      <c r="E7" s="43" t="s">
        <v>263</v>
      </c>
      <c r="F7" s="30"/>
      <c r="G7" s="30"/>
      <c r="H7" s="30"/>
      <c r="I7" s="30"/>
      <c r="J7" s="30"/>
      <c r="K7" s="30"/>
      <c r="L7" s="30"/>
      <c r="M7" s="30"/>
      <c r="N7" s="30"/>
      <c r="O7" s="30"/>
      <c r="Q7" s="31"/>
      <c r="R7" s="43" t="s">
        <v>246</v>
      </c>
      <c r="S7" s="30"/>
      <c r="T7" s="30" t="s">
        <v>250</v>
      </c>
      <c r="U7" s="43" t="s">
        <v>287</v>
      </c>
      <c r="V7" s="43" t="s">
        <v>297</v>
      </c>
      <c r="W7" s="30"/>
      <c r="X7" s="30"/>
      <c r="Y7" s="30"/>
      <c r="Z7" s="43"/>
      <c r="AA7" s="30"/>
      <c r="AB7" s="30"/>
      <c r="AC7" s="30"/>
      <c r="AD7" s="30"/>
      <c r="AE7" s="30"/>
    </row>
    <row r="8" spans="1:33" x14ac:dyDescent="0.25">
      <c r="A8" s="31"/>
      <c r="B8" s="43" t="s">
        <v>246</v>
      </c>
      <c r="C8" s="30"/>
      <c r="D8" s="30" t="s">
        <v>251</v>
      </c>
      <c r="E8" s="43" t="s">
        <v>262</v>
      </c>
      <c r="F8" s="30"/>
      <c r="G8" s="30"/>
      <c r="H8" s="30"/>
      <c r="I8" s="30"/>
      <c r="J8" s="30"/>
      <c r="K8" s="30"/>
      <c r="L8" s="30"/>
      <c r="M8" s="30"/>
      <c r="N8" s="30"/>
      <c r="O8" s="30"/>
      <c r="Q8" s="31"/>
      <c r="R8" s="30"/>
      <c r="S8" s="30"/>
      <c r="T8" s="30" t="s">
        <v>251</v>
      </c>
      <c r="U8" s="43" t="s">
        <v>288</v>
      </c>
      <c r="V8" s="43" t="s">
        <v>296</v>
      </c>
      <c r="W8" s="30"/>
      <c r="X8" s="30"/>
      <c r="Y8" s="30"/>
      <c r="Z8" s="43"/>
      <c r="AA8" s="30"/>
      <c r="AB8" s="30"/>
      <c r="AC8" s="30"/>
      <c r="AD8" s="30"/>
      <c r="AE8" s="30"/>
    </row>
    <row r="9" spans="1:33" x14ac:dyDescent="0.25">
      <c r="A9" s="31"/>
      <c r="B9" s="43"/>
      <c r="C9" s="30"/>
      <c r="D9" s="30" t="s">
        <v>252</v>
      </c>
      <c r="E9" s="43" t="s">
        <v>261</v>
      </c>
      <c r="F9" s="30"/>
      <c r="G9" s="30"/>
      <c r="H9" s="30"/>
      <c r="I9" s="30"/>
      <c r="J9" s="30"/>
      <c r="K9" s="30"/>
      <c r="L9" s="30"/>
      <c r="M9" s="30"/>
      <c r="N9" s="30"/>
      <c r="O9" s="30"/>
      <c r="Q9" s="31"/>
      <c r="R9" s="30"/>
      <c r="S9" s="30"/>
      <c r="T9" s="30" t="s">
        <v>252</v>
      </c>
      <c r="U9" s="43" t="s">
        <v>289</v>
      </c>
      <c r="V9" s="30"/>
      <c r="W9" s="30"/>
      <c r="X9" s="30"/>
      <c r="Y9" s="30"/>
      <c r="Z9" s="43"/>
      <c r="AA9" s="30"/>
      <c r="AB9" s="30"/>
      <c r="AC9" s="30"/>
      <c r="AD9" s="30"/>
      <c r="AE9" s="30"/>
    </row>
    <row r="10" spans="1:33" x14ac:dyDescent="0.25">
      <c r="A10" s="31"/>
      <c r="B10" s="43"/>
      <c r="C10" s="30"/>
      <c r="D10" s="30"/>
      <c r="E10" s="43" t="s">
        <v>260</v>
      </c>
      <c r="F10" s="30"/>
      <c r="G10" s="30"/>
      <c r="H10" s="30"/>
      <c r="I10" s="30"/>
      <c r="J10" s="30"/>
      <c r="K10" s="30"/>
      <c r="L10" s="30"/>
      <c r="M10" s="30"/>
      <c r="N10" s="30"/>
      <c r="O10" s="30"/>
      <c r="Q10" s="31"/>
      <c r="R10" s="30"/>
      <c r="S10" s="30"/>
      <c r="T10" s="30"/>
      <c r="U10" s="43" t="s">
        <v>290</v>
      </c>
      <c r="V10" s="30"/>
      <c r="W10" s="30"/>
      <c r="X10" s="30"/>
      <c r="Y10" s="30"/>
      <c r="Z10" s="43"/>
      <c r="AA10" s="30"/>
      <c r="AB10" s="30"/>
      <c r="AC10" s="30"/>
      <c r="AD10" s="30"/>
      <c r="AE10" s="30"/>
    </row>
    <row r="11" spans="1:33" x14ac:dyDescent="0.25">
      <c r="A11" s="31"/>
      <c r="B11" s="49"/>
      <c r="C11" s="31"/>
      <c r="D11" s="31"/>
      <c r="E11" s="49" t="s">
        <v>259</v>
      </c>
      <c r="F11" s="31"/>
      <c r="G11" s="31"/>
      <c r="H11" s="31"/>
      <c r="I11" s="31"/>
      <c r="J11" s="31"/>
      <c r="K11" s="31"/>
      <c r="L11" s="31"/>
      <c r="M11" s="31"/>
      <c r="N11" s="31"/>
      <c r="O11" s="31"/>
      <c r="Q11" s="31"/>
      <c r="R11" s="30"/>
      <c r="S11" s="30"/>
      <c r="T11" s="30"/>
      <c r="U11" s="46" t="s">
        <v>291</v>
      </c>
      <c r="V11" s="30"/>
      <c r="W11" s="30"/>
      <c r="X11" s="30"/>
      <c r="Y11" s="30"/>
      <c r="Z11" s="43"/>
      <c r="AA11" s="30"/>
      <c r="AB11" s="30"/>
      <c r="AC11" s="30"/>
      <c r="AD11" s="30"/>
      <c r="AE11" s="30"/>
    </row>
    <row r="12" spans="1:33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Q12" s="31"/>
      <c r="R12" s="30"/>
      <c r="S12" s="30"/>
      <c r="T12" s="30"/>
      <c r="U12" s="46" t="s">
        <v>292</v>
      </c>
      <c r="V12" s="30"/>
      <c r="W12" s="30"/>
      <c r="X12" s="30"/>
      <c r="Y12" s="30"/>
      <c r="Z12" s="43"/>
      <c r="AA12" s="30"/>
      <c r="AB12" s="30"/>
      <c r="AC12" s="30"/>
      <c r="AD12" s="30"/>
      <c r="AE12" s="30"/>
    </row>
    <row r="13" spans="1:33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Q13" s="31"/>
      <c r="R13" s="30"/>
      <c r="S13" s="30"/>
      <c r="T13" s="30"/>
      <c r="U13" s="46" t="s">
        <v>293</v>
      </c>
      <c r="V13" s="30"/>
      <c r="W13" s="30"/>
      <c r="X13" s="30"/>
      <c r="Y13" s="30"/>
      <c r="Z13" s="43"/>
      <c r="AA13" s="30"/>
      <c r="AB13" s="30"/>
      <c r="AC13" s="30"/>
      <c r="AD13" s="30"/>
      <c r="AE13" s="30"/>
    </row>
    <row r="14" spans="1:33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Q14" s="31"/>
      <c r="R14" s="30"/>
      <c r="S14" s="30"/>
      <c r="T14" s="30"/>
      <c r="U14" s="46" t="s">
        <v>294</v>
      </c>
      <c r="V14" s="30"/>
      <c r="W14" s="30"/>
      <c r="X14" s="30"/>
      <c r="Y14" s="30"/>
      <c r="Z14" s="43"/>
      <c r="AA14" s="30"/>
      <c r="AB14" s="30"/>
      <c r="AC14" s="30"/>
      <c r="AD14" s="30"/>
      <c r="AE14" s="30"/>
    </row>
    <row r="15" spans="1:33" ht="12.75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Q15" s="31"/>
      <c r="R15" s="30"/>
      <c r="S15" s="30"/>
      <c r="T15" s="30"/>
      <c r="U15" s="43" t="s">
        <v>341</v>
      </c>
      <c r="V15" s="30"/>
      <c r="W15" s="30"/>
      <c r="X15" s="30"/>
      <c r="Y15" s="30"/>
      <c r="Z15" s="43"/>
      <c r="AA15" s="30"/>
      <c r="AB15" s="30"/>
      <c r="AC15" s="30"/>
      <c r="AD15" s="30"/>
      <c r="AE15" s="30"/>
    </row>
    <row r="16" spans="1:33" x14ac:dyDescent="0.25">
      <c r="A16" s="36"/>
      <c r="B16" s="36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Q16" s="35"/>
      <c r="R16" s="36"/>
      <c r="S16" s="36"/>
      <c r="T16" s="36"/>
      <c r="U16" s="47" t="s">
        <v>339</v>
      </c>
      <c r="V16" s="36"/>
      <c r="W16" s="36"/>
      <c r="X16" s="36"/>
      <c r="Y16" s="36"/>
      <c r="Z16" s="44"/>
      <c r="AA16" s="36"/>
      <c r="AB16" s="36"/>
      <c r="AC16" s="36"/>
      <c r="AD16" s="36"/>
      <c r="AE16" s="36"/>
    </row>
    <row r="19" spans="1:31" x14ac:dyDescent="0.25">
      <c r="A19" s="82" t="s">
        <v>302</v>
      </c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Q19" s="82" t="s">
        <v>423</v>
      </c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</row>
    <row r="20" spans="1:31" x14ac:dyDescent="0.25">
      <c r="A20" s="83" t="s">
        <v>233</v>
      </c>
      <c r="B20" s="84"/>
      <c r="C20" s="85"/>
      <c r="D20" s="86" t="s">
        <v>234</v>
      </c>
      <c r="E20" s="87"/>
      <c r="F20" s="88"/>
      <c r="G20" s="89" t="s">
        <v>235</v>
      </c>
      <c r="H20" s="90"/>
      <c r="I20" s="91"/>
      <c r="J20" s="95" t="s">
        <v>237</v>
      </c>
      <c r="K20" s="96"/>
      <c r="L20" s="96"/>
      <c r="M20" s="92" t="s">
        <v>236</v>
      </c>
      <c r="N20" s="93"/>
      <c r="O20" s="94"/>
      <c r="Q20" s="83" t="s">
        <v>233</v>
      </c>
      <c r="R20" s="84"/>
      <c r="S20" s="85"/>
      <c r="T20" s="86" t="s">
        <v>234</v>
      </c>
      <c r="U20" s="87"/>
      <c r="V20" s="88"/>
      <c r="W20" s="89" t="s">
        <v>235</v>
      </c>
      <c r="X20" s="90"/>
      <c r="Y20" s="91"/>
      <c r="Z20" s="95" t="s">
        <v>237</v>
      </c>
      <c r="AA20" s="96"/>
      <c r="AB20" s="96"/>
      <c r="AC20" s="92" t="s">
        <v>236</v>
      </c>
      <c r="AD20" s="93"/>
      <c r="AE20" s="94"/>
    </row>
    <row r="21" spans="1:31" x14ac:dyDescent="0.25">
      <c r="A21" s="23" t="s">
        <v>238</v>
      </c>
      <c r="B21" s="23" t="s">
        <v>239</v>
      </c>
      <c r="C21" s="23" t="s">
        <v>253</v>
      </c>
      <c r="D21" s="23" t="s">
        <v>238</v>
      </c>
      <c r="E21" s="23" t="s">
        <v>239</v>
      </c>
      <c r="F21" s="23" t="s">
        <v>253</v>
      </c>
      <c r="G21" s="23" t="s">
        <v>238</v>
      </c>
      <c r="H21" s="23" t="s">
        <v>239</v>
      </c>
      <c r="I21" s="23" t="s">
        <v>253</v>
      </c>
      <c r="J21" s="23" t="s">
        <v>238</v>
      </c>
      <c r="K21" s="23" t="s">
        <v>239</v>
      </c>
      <c r="L21" s="23" t="s">
        <v>253</v>
      </c>
      <c r="M21" s="23" t="s">
        <v>238</v>
      </c>
      <c r="N21" s="23" t="s">
        <v>239</v>
      </c>
      <c r="O21" s="23" t="s">
        <v>253</v>
      </c>
      <c r="Q21" s="23" t="s">
        <v>238</v>
      </c>
      <c r="R21" s="23" t="s">
        <v>239</v>
      </c>
      <c r="S21" s="23" t="s">
        <v>253</v>
      </c>
      <c r="T21" s="23" t="s">
        <v>238</v>
      </c>
      <c r="U21" s="23" t="s">
        <v>239</v>
      </c>
      <c r="V21" s="23" t="s">
        <v>253</v>
      </c>
      <c r="W21" s="23" t="s">
        <v>238</v>
      </c>
      <c r="X21" s="23" t="s">
        <v>239</v>
      </c>
      <c r="Y21" s="23" t="s">
        <v>253</v>
      </c>
      <c r="Z21" s="33" t="s">
        <v>238</v>
      </c>
      <c r="AA21" s="23" t="s">
        <v>239</v>
      </c>
      <c r="AB21" s="23" t="s">
        <v>253</v>
      </c>
      <c r="AC21" s="23" t="s">
        <v>238</v>
      </c>
      <c r="AD21" s="23" t="s">
        <v>239</v>
      </c>
      <c r="AE21" s="23" t="s">
        <v>253</v>
      </c>
    </row>
    <row r="22" spans="1:31" ht="15" customHeight="1" x14ac:dyDescent="0.25">
      <c r="A22" s="37" t="s">
        <v>241</v>
      </c>
      <c r="B22" s="42" t="s">
        <v>242</v>
      </c>
      <c r="C22" s="29"/>
      <c r="D22" s="29" t="s">
        <v>251</v>
      </c>
      <c r="E22" s="38" t="s">
        <v>305</v>
      </c>
      <c r="F22" s="32"/>
      <c r="G22" s="42" t="s">
        <v>266</v>
      </c>
      <c r="H22" s="42" t="s">
        <v>268</v>
      </c>
      <c r="I22" s="29"/>
      <c r="J22" s="29" t="s">
        <v>269</v>
      </c>
      <c r="K22" s="34" t="s">
        <v>328</v>
      </c>
      <c r="L22" s="30"/>
      <c r="M22" s="45" t="s">
        <v>274</v>
      </c>
      <c r="N22" s="39" t="s">
        <v>317</v>
      </c>
      <c r="O22" s="30"/>
      <c r="Q22" s="37" t="s">
        <v>241</v>
      </c>
      <c r="R22" s="42" t="s">
        <v>242</v>
      </c>
      <c r="S22" s="42" t="s">
        <v>254</v>
      </c>
      <c r="T22" s="29" t="s">
        <v>251</v>
      </c>
      <c r="U22" s="38" t="s">
        <v>321</v>
      </c>
      <c r="V22" s="32"/>
      <c r="W22" s="42" t="s">
        <v>266</v>
      </c>
      <c r="X22" s="42" t="s">
        <v>268</v>
      </c>
      <c r="Y22" s="29"/>
      <c r="Z22" s="42" t="s">
        <v>325</v>
      </c>
      <c r="AA22" s="34" t="s">
        <v>328</v>
      </c>
      <c r="AB22" s="30"/>
      <c r="AC22" s="52" t="s">
        <v>274</v>
      </c>
      <c r="AD22" s="39" t="s">
        <v>332</v>
      </c>
      <c r="AE22" s="30"/>
    </row>
    <row r="23" spans="1:31" ht="15" customHeight="1" x14ac:dyDescent="0.25">
      <c r="A23" s="31" t="s">
        <v>240</v>
      </c>
      <c r="B23" s="43" t="s">
        <v>243</v>
      </c>
      <c r="C23" s="30"/>
      <c r="D23" s="34" t="s">
        <v>344</v>
      </c>
      <c r="E23" s="39" t="s">
        <v>306</v>
      </c>
      <c r="F23" s="30"/>
      <c r="G23" s="43" t="s">
        <v>267</v>
      </c>
      <c r="H23" s="30"/>
      <c r="I23" s="30"/>
      <c r="J23" s="30" t="s">
        <v>270</v>
      </c>
      <c r="K23" s="34" t="s">
        <v>329</v>
      </c>
      <c r="L23" s="30"/>
      <c r="M23" s="43" t="s">
        <v>275</v>
      </c>
      <c r="N23" s="43" t="s">
        <v>318</v>
      </c>
      <c r="O23" s="30"/>
      <c r="Q23" s="31" t="s">
        <v>278</v>
      </c>
      <c r="R23" s="43" t="s">
        <v>243</v>
      </c>
      <c r="S23" s="43" t="s">
        <v>255</v>
      </c>
      <c r="T23" s="34"/>
      <c r="U23" s="39" t="s">
        <v>322</v>
      </c>
      <c r="V23" s="30"/>
      <c r="W23" s="43" t="s">
        <v>267</v>
      </c>
      <c r="X23" s="30"/>
      <c r="Y23" s="30"/>
      <c r="Z23" s="43" t="s">
        <v>326</v>
      </c>
      <c r="AA23" s="34" t="s">
        <v>329</v>
      </c>
      <c r="AB23" s="30"/>
      <c r="AC23" s="53" t="s">
        <v>331</v>
      </c>
      <c r="AD23" s="43" t="s">
        <v>318</v>
      </c>
      <c r="AE23" s="30"/>
    </row>
    <row r="24" spans="1:31" ht="15" customHeight="1" x14ac:dyDescent="0.25">
      <c r="A24" s="31"/>
      <c r="B24" s="43" t="s">
        <v>244</v>
      </c>
      <c r="C24" s="30"/>
      <c r="D24" s="30" t="s">
        <v>303</v>
      </c>
      <c r="E24" s="39" t="s">
        <v>307</v>
      </c>
      <c r="F24" s="30"/>
      <c r="G24" s="30"/>
      <c r="H24" s="30"/>
      <c r="I24" s="30"/>
      <c r="J24" s="30" t="s">
        <v>271</v>
      </c>
      <c r="K24" s="34" t="s">
        <v>316</v>
      </c>
      <c r="L24" s="30"/>
      <c r="M24" s="30"/>
      <c r="N24" s="43" t="s">
        <v>319</v>
      </c>
      <c r="O24" s="30"/>
      <c r="Q24" s="31"/>
      <c r="R24" s="43" t="s">
        <v>244</v>
      </c>
      <c r="S24" s="30"/>
      <c r="T24" s="30"/>
      <c r="U24" s="39" t="s">
        <v>323</v>
      </c>
      <c r="V24" s="30"/>
      <c r="W24" s="43"/>
      <c r="X24" s="30"/>
      <c r="Y24" s="30"/>
      <c r="Z24" s="43"/>
      <c r="AA24" s="34" t="s">
        <v>316</v>
      </c>
      <c r="AB24" s="30"/>
      <c r="AC24" s="53"/>
      <c r="AD24" s="43" t="s">
        <v>319</v>
      </c>
      <c r="AE24" s="30"/>
    </row>
    <row r="25" spans="1:31" ht="15" customHeight="1" x14ac:dyDescent="0.25">
      <c r="A25" s="31"/>
      <c r="B25" s="43" t="s">
        <v>245</v>
      </c>
      <c r="C25" s="30"/>
      <c r="D25" s="30" t="s">
        <v>304</v>
      </c>
      <c r="E25" s="39" t="s">
        <v>308</v>
      </c>
      <c r="F25" s="30"/>
      <c r="G25" s="30"/>
      <c r="H25" s="30"/>
      <c r="I25" s="30"/>
      <c r="J25" s="30"/>
      <c r="K25" s="34" t="s">
        <v>330</v>
      </c>
      <c r="L25" s="30"/>
      <c r="M25" s="30"/>
      <c r="N25" s="39" t="s">
        <v>320</v>
      </c>
      <c r="O25" s="30"/>
      <c r="Q25" s="31"/>
      <c r="R25" s="43" t="s">
        <v>245</v>
      </c>
      <c r="S25" s="30"/>
      <c r="T25" s="30"/>
      <c r="U25" s="39" t="s">
        <v>324</v>
      </c>
      <c r="V25" s="30"/>
      <c r="W25" s="43"/>
      <c r="X25" s="30"/>
      <c r="Y25" s="30"/>
      <c r="Z25" s="43"/>
      <c r="AA25" s="34" t="s">
        <v>330</v>
      </c>
      <c r="AB25" s="30"/>
      <c r="AC25" s="30"/>
      <c r="AD25" s="39" t="s">
        <v>320</v>
      </c>
      <c r="AE25" s="30"/>
    </row>
    <row r="26" spans="1:31" ht="15" customHeight="1" x14ac:dyDescent="0.25">
      <c r="A26" s="31"/>
      <c r="B26" s="43" t="s">
        <v>246</v>
      </c>
      <c r="C26" s="30"/>
      <c r="D26" s="30"/>
      <c r="E26" s="39" t="s">
        <v>309</v>
      </c>
      <c r="F26" s="30"/>
      <c r="G26" s="30"/>
      <c r="H26" s="30"/>
      <c r="I26" s="30"/>
      <c r="J26" s="30"/>
      <c r="K26" s="43" t="s">
        <v>315</v>
      </c>
      <c r="L26" s="30"/>
      <c r="M26" s="30"/>
      <c r="N26" s="30"/>
      <c r="O26" s="30"/>
      <c r="Q26" s="31"/>
      <c r="R26" s="43" t="s">
        <v>246</v>
      </c>
      <c r="S26" s="30"/>
      <c r="T26" s="30"/>
      <c r="U26" s="39"/>
      <c r="V26" s="30"/>
      <c r="W26" s="43"/>
      <c r="X26" s="30"/>
      <c r="Y26" s="30"/>
      <c r="Z26" s="43"/>
      <c r="AA26" s="43"/>
      <c r="AB26" s="30"/>
      <c r="AC26" s="30"/>
      <c r="AD26" s="30"/>
      <c r="AE26" s="30"/>
    </row>
    <row r="27" spans="1:31" ht="15" customHeight="1" x14ac:dyDescent="0.25">
      <c r="A27" s="31"/>
      <c r="B27" s="43"/>
      <c r="C27" s="30"/>
      <c r="D27" s="30"/>
      <c r="E27" s="39" t="s">
        <v>310</v>
      </c>
      <c r="F27" s="30"/>
      <c r="G27" s="30"/>
      <c r="H27" s="30"/>
      <c r="I27" s="30"/>
      <c r="J27" s="30"/>
      <c r="K27" s="30"/>
      <c r="L27" s="30"/>
      <c r="M27" s="30"/>
      <c r="N27" s="30"/>
      <c r="O27" s="30"/>
      <c r="Q27" s="31"/>
      <c r="R27" s="43"/>
      <c r="S27" s="30"/>
      <c r="T27" s="30"/>
      <c r="U27" s="39"/>
      <c r="V27" s="30"/>
      <c r="W27" s="30"/>
      <c r="X27" s="30"/>
      <c r="Y27" s="30"/>
      <c r="Z27" s="43"/>
      <c r="AA27" s="30"/>
      <c r="AB27" s="30"/>
      <c r="AC27" s="30"/>
      <c r="AD27" s="30"/>
      <c r="AE27" s="30"/>
    </row>
    <row r="28" spans="1:31" ht="15" customHeight="1" x14ac:dyDescent="0.25">
      <c r="A28" s="31"/>
      <c r="B28" s="43"/>
      <c r="C28" s="30"/>
      <c r="D28" s="30"/>
      <c r="E28" s="39" t="s">
        <v>311</v>
      </c>
      <c r="F28" s="30"/>
      <c r="G28" s="30"/>
      <c r="H28" s="30"/>
      <c r="I28" s="30"/>
      <c r="J28" s="30"/>
      <c r="K28" s="30"/>
      <c r="L28" s="30"/>
      <c r="M28" s="30"/>
      <c r="N28" s="30"/>
      <c r="O28" s="30"/>
      <c r="Q28" s="31"/>
      <c r="R28" s="43"/>
      <c r="S28" s="30"/>
      <c r="T28" s="30"/>
      <c r="U28" s="39"/>
      <c r="V28" s="30"/>
      <c r="W28" s="30"/>
      <c r="X28" s="30"/>
      <c r="Y28" s="30"/>
      <c r="Z28" s="43"/>
      <c r="AA28" s="30"/>
      <c r="AB28" s="30"/>
      <c r="AC28" s="30"/>
      <c r="AD28" s="30"/>
      <c r="AE28" s="30"/>
    </row>
    <row r="29" spans="1:31" ht="15" customHeight="1" x14ac:dyDescent="0.25">
      <c r="A29" s="30"/>
      <c r="B29" s="43"/>
      <c r="C29" s="30"/>
      <c r="D29" s="30"/>
      <c r="E29" s="39" t="s">
        <v>312</v>
      </c>
      <c r="F29" s="30"/>
      <c r="G29" s="30"/>
      <c r="H29" s="30"/>
      <c r="I29" s="30"/>
      <c r="J29" s="30"/>
      <c r="K29" s="30"/>
      <c r="L29" s="30"/>
      <c r="M29" s="30"/>
      <c r="N29" s="30"/>
      <c r="O29" s="30"/>
      <c r="Q29" s="31"/>
      <c r="R29" s="43"/>
      <c r="S29" s="30"/>
      <c r="T29" s="30"/>
      <c r="U29" s="39"/>
      <c r="V29" s="30"/>
      <c r="W29" s="30"/>
      <c r="X29" s="30"/>
      <c r="Y29" s="30"/>
      <c r="Z29" s="43"/>
      <c r="AA29" s="30"/>
      <c r="AB29" s="30"/>
      <c r="AC29" s="30"/>
      <c r="AD29" s="30"/>
      <c r="AE29" s="30"/>
    </row>
    <row r="30" spans="1:31" ht="15" customHeight="1" x14ac:dyDescent="0.25">
      <c r="A30" s="30"/>
      <c r="B30" s="43"/>
      <c r="C30" s="30"/>
      <c r="D30" s="30"/>
      <c r="E30" s="40" t="s">
        <v>313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Q30" s="31"/>
      <c r="R30" s="43"/>
      <c r="S30" s="30"/>
      <c r="T30" s="30"/>
      <c r="U30" s="40"/>
      <c r="V30" s="30"/>
      <c r="W30" s="30"/>
      <c r="X30" s="30"/>
      <c r="Y30" s="30"/>
      <c r="Z30" s="43"/>
      <c r="AA30" s="30"/>
      <c r="AB30" s="30"/>
      <c r="AC30" s="30"/>
      <c r="AD30" s="30"/>
      <c r="AE30" s="30"/>
    </row>
    <row r="31" spans="1:31" ht="15" customHeight="1" x14ac:dyDescent="0.25">
      <c r="A31" s="36"/>
      <c r="B31" s="44"/>
      <c r="C31" s="36"/>
      <c r="D31" s="36"/>
      <c r="E31" s="41" t="s">
        <v>314</v>
      </c>
      <c r="F31" s="36"/>
      <c r="G31" s="36"/>
      <c r="H31" s="36"/>
      <c r="I31" s="36"/>
      <c r="J31" s="36"/>
      <c r="K31" s="36"/>
      <c r="L31" s="36"/>
      <c r="M31" s="36"/>
      <c r="N31" s="36"/>
      <c r="O31" s="36"/>
      <c r="Q31" s="35"/>
      <c r="R31" s="44"/>
      <c r="S31" s="36"/>
      <c r="T31" s="36"/>
      <c r="U31" s="41"/>
      <c r="V31" s="36"/>
      <c r="W31" s="36"/>
      <c r="X31" s="36"/>
      <c r="Y31" s="36"/>
      <c r="Z31" s="44"/>
      <c r="AA31" s="36"/>
      <c r="AB31" s="36"/>
      <c r="AC31" s="36"/>
      <c r="AD31" s="36"/>
      <c r="AE31" s="36"/>
    </row>
    <row r="34" spans="1:19" x14ac:dyDescent="0.25">
      <c r="A34" s="82" t="s">
        <v>333</v>
      </c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</row>
    <row r="35" spans="1:19" x14ac:dyDescent="0.25">
      <c r="A35" s="83" t="s">
        <v>233</v>
      </c>
      <c r="B35" s="84"/>
      <c r="C35" s="85"/>
      <c r="D35" s="86" t="s">
        <v>234</v>
      </c>
      <c r="E35" s="87"/>
      <c r="F35" s="88"/>
      <c r="G35" s="89" t="s">
        <v>235</v>
      </c>
      <c r="H35" s="90"/>
      <c r="I35" s="91"/>
      <c r="J35" s="95" t="s">
        <v>237</v>
      </c>
      <c r="K35" s="96"/>
      <c r="L35" s="96"/>
      <c r="M35" s="92" t="s">
        <v>236</v>
      </c>
      <c r="N35" s="93"/>
      <c r="O35" s="94"/>
    </row>
    <row r="36" spans="1:19" x14ac:dyDescent="0.25">
      <c r="A36" s="23" t="s">
        <v>238</v>
      </c>
      <c r="B36" s="23" t="s">
        <v>239</v>
      </c>
      <c r="C36" s="23" t="s">
        <v>253</v>
      </c>
      <c r="D36" s="23" t="s">
        <v>238</v>
      </c>
      <c r="E36" s="23" t="s">
        <v>239</v>
      </c>
      <c r="F36" s="23" t="s">
        <v>253</v>
      </c>
      <c r="G36" s="23" t="s">
        <v>238</v>
      </c>
      <c r="H36" s="23" t="s">
        <v>239</v>
      </c>
      <c r="I36" s="23" t="s">
        <v>253</v>
      </c>
      <c r="J36" s="33" t="s">
        <v>238</v>
      </c>
      <c r="K36" s="23" t="s">
        <v>239</v>
      </c>
      <c r="L36" s="23" t="s">
        <v>253</v>
      </c>
      <c r="M36" s="23" t="s">
        <v>238</v>
      </c>
      <c r="N36" s="23" t="s">
        <v>239</v>
      </c>
      <c r="O36" s="23" t="s">
        <v>253</v>
      </c>
    </row>
    <row r="37" spans="1:19" ht="15" customHeight="1" x14ac:dyDescent="0.35">
      <c r="A37" s="37" t="s">
        <v>241</v>
      </c>
      <c r="B37" s="42" t="s">
        <v>242</v>
      </c>
      <c r="C37" s="42" t="s">
        <v>254</v>
      </c>
      <c r="D37" s="29" t="s">
        <v>281</v>
      </c>
      <c r="E37" s="38" t="s">
        <v>335</v>
      </c>
      <c r="F37" s="32"/>
      <c r="G37" s="42" t="s">
        <v>266</v>
      </c>
      <c r="H37" s="42" t="s">
        <v>268</v>
      </c>
      <c r="I37" s="29"/>
      <c r="J37" s="42" t="s">
        <v>325</v>
      </c>
      <c r="K37" s="34" t="s">
        <v>328</v>
      </c>
      <c r="L37" s="30"/>
      <c r="M37" s="52" t="s">
        <v>274</v>
      </c>
      <c r="N37" s="39" t="s">
        <v>332</v>
      </c>
      <c r="O37" s="30"/>
      <c r="S37" s="54"/>
    </row>
    <row r="38" spans="1:19" ht="15" customHeight="1" x14ac:dyDescent="0.25">
      <c r="A38" s="31" t="s">
        <v>278</v>
      </c>
      <c r="B38" s="43" t="s">
        <v>243</v>
      </c>
      <c r="C38" s="43" t="s">
        <v>255</v>
      </c>
      <c r="D38" s="34" t="s">
        <v>334</v>
      </c>
      <c r="E38" s="39" t="s">
        <v>336</v>
      </c>
      <c r="F38" s="30"/>
      <c r="G38" s="43" t="s">
        <v>267</v>
      </c>
      <c r="H38" s="30"/>
      <c r="I38" s="30"/>
      <c r="J38" s="43" t="s">
        <v>326</v>
      </c>
      <c r="K38" s="34" t="s">
        <v>329</v>
      </c>
      <c r="L38" s="30"/>
      <c r="M38" s="53" t="s">
        <v>275</v>
      </c>
      <c r="N38" s="43" t="s">
        <v>318</v>
      </c>
      <c r="O38" s="30"/>
    </row>
    <row r="39" spans="1:19" ht="15" customHeight="1" x14ac:dyDescent="0.25">
      <c r="A39" s="31"/>
      <c r="B39" s="43" t="s">
        <v>244</v>
      </c>
      <c r="C39" s="30"/>
      <c r="D39" s="30" t="s">
        <v>283</v>
      </c>
      <c r="E39" s="39" t="s">
        <v>337</v>
      </c>
      <c r="F39" s="30"/>
      <c r="G39" s="43"/>
      <c r="H39" s="30"/>
      <c r="I39" s="30"/>
      <c r="J39" s="43" t="s">
        <v>327</v>
      </c>
      <c r="K39" s="34" t="s">
        <v>316</v>
      </c>
      <c r="L39" s="30"/>
      <c r="M39" s="53"/>
      <c r="N39" s="43" t="s">
        <v>319</v>
      </c>
      <c r="O39" s="30"/>
    </row>
    <row r="40" spans="1:19" ht="15" customHeight="1" x14ac:dyDescent="0.25">
      <c r="A40" s="31"/>
      <c r="B40" s="43" t="s">
        <v>245</v>
      </c>
      <c r="C40" s="30"/>
      <c r="D40" s="30" t="s">
        <v>250</v>
      </c>
      <c r="E40" s="39" t="s">
        <v>293</v>
      </c>
      <c r="F40" s="30"/>
      <c r="G40" s="43"/>
      <c r="H40" s="30"/>
      <c r="I40" s="30"/>
      <c r="J40" s="43"/>
      <c r="K40" s="34" t="s">
        <v>330</v>
      </c>
      <c r="L40" s="30"/>
      <c r="M40" s="30"/>
      <c r="N40" s="39" t="s">
        <v>320</v>
      </c>
      <c r="O40" s="30"/>
    </row>
    <row r="41" spans="1:19" x14ac:dyDescent="0.25">
      <c r="A41" s="31"/>
      <c r="B41" s="43" t="s">
        <v>246</v>
      </c>
      <c r="C41" s="30"/>
      <c r="D41" s="30" t="s">
        <v>251</v>
      </c>
      <c r="E41" s="39" t="s">
        <v>338</v>
      </c>
      <c r="F41" s="30"/>
      <c r="G41" s="43"/>
      <c r="H41" s="30"/>
      <c r="I41" s="30"/>
      <c r="J41" s="43"/>
      <c r="K41" s="43"/>
      <c r="L41" s="30"/>
      <c r="M41" s="30"/>
      <c r="N41" s="30"/>
      <c r="O41" s="30"/>
    </row>
    <row r="42" spans="1:19" x14ac:dyDescent="0.25">
      <c r="A42" s="31"/>
      <c r="B42" s="43"/>
      <c r="C42" s="30"/>
      <c r="D42" s="30" t="s">
        <v>252</v>
      </c>
      <c r="E42" s="39"/>
      <c r="F42" s="30"/>
      <c r="G42" s="30"/>
      <c r="H42" s="30"/>
      <c r="I42" s="30"/>
      <c r="J42" s="43"/>
      <c r="K42" s="30"/>
      <c r="L42" s="30"/>
      <c r="M42" s="30"/>
      <c r="N42" s="30"/>
      <c r="O42" s="30"/>
    </row>
    <row r="43" spans="1:19" x14ac:dyDescent="0.25">
      <c r="A43" s="31"/>
      <c r="B43" s="43"/>
      <c r="C43" s="30"/>
      <c r="D43" s="30"/>
      <c r="E43" s="39"/>
      <c r="F43" s="30"/>
      <c r="G43" s="30"/>
      <c r="H43" s="30"/>
      <c r="I43" s="30"/>
      <c r="J43" s="43"/>
      <c r="K43" s="30"/>
      <c r="L43" s="30"/>
      <c r="M43" s="30"/>
      <c r="N43" s="30"/>
      <c r="O43" s="30"/>
    </row>
    <row r="44" spans="1:19" x14ac:dyDescent="0.25">
      <c r="A44" s="31"/>
      <c r="B44" s="43"/>
      <c r="C44" s="30"/>
      <c r="D44" s="30"/>
      <c r="E44" s="39"/>
      <c r="F44" s="30"/>
      <c r="G44" s="30"/>
      <c r="H44" s="30"/>
      <c r="I44" s="30"/>
      <c r="J44" s="43"/>
      <c r="K44" s="30"/>
      <c r="L44" s="30"/>
      <c r="M44" s="30"/>
      <c r="N44" s="30"/>
      <c r="O44" s="30"/>
    </row>
    <row r="45" spans="1:19" x14ac:dyDescent="0.25">
      <c r="A45" s="31"/>
      <c r="B45" s="43"/>
      <c r="C45" s="30"/>
      <c r="D45" s="30"/>
      <c r="E45" s="40"/>
      <c r="F45" s="30"/>
      <c r="G45" s="30"/>
      <c r="H45" s="30"/>
      <c r="I45" s="30"/>
      <c r="J45" s="43"/>
      <c r="K45" s="30"/>
      <c r="L45" s="30"/>
      <c r="M45" s="30"/>
      <c r="N45" s="30"/>
      <c r="O45" s="30"/>
    </row>
    <row r="46" spans="1:19" x14ac:dyDescent="0.25">
      <c r="A46" s="35"/>
      <c r="B46" s="44"/>
      <c r="C46" s="36"/>
      <c r="D46" s="36"/>
      <c r="E46" s="41"/>
      <c r="F46" s="36"/>
      <c r="G46" s="36"/>
      <c r="H46" s="36"/>
      <c r="I46" s="36"/>
      <c r="J46" s="44"/>
      <c r="K46" s="36"/>
      <c r="L46" s="36"/>
      <c r="M46" s="36"/>
      <c r="N46" s="36"/>
      <c r="O46" s="36"/>
    </row>
  </sheetData>
  <mergeCells count="30">
    <mergeCell ref="A34:O34"/>
    <mergeCell ref="A35:C35"/>
    <mergeCell ref="D35:F35"/>
    <mergeCell ref="G35:I35"/>
    <mergeCell ref="J35:L35"/>
    <mergeCell ref="M35:O35"/>
    <mergeCell ref="Q19:AE19"/>
    <mergeCell ref="Q20:S20"/>
    <mergeCell ref="T20:V20"/>
    <mergeCell ref="W20:Y20"/>
    <mergeCell ref="Z20:AB20"/>
    <mergeCell ref="AC20:AE20"/>
    <mergeCell ref="A19:O19"/>
    <mergeCell ref="A20:C20"/>
    <mergeCell ref="D20:F20"/>
    <mergeCell ref="G20:I20"/>
    <mergeCell ref="J20:L20"/>
    <mergeCell ref="M20:O20"/>
    <mergeCell ref="Q1:AE1"/>
    <mergeCell ref="Q2:S2"/>
    <mergeCell ref="T2:V2"/>
    <mergeCell ref="W2:Y2"/>
    <mergeCell ref="Z2:AB2"/>
    <mergeCell ref="AC2:AE2"/>
    <mergeCell ref="A1:O1"/>
    <mergeCell ref="A2:C2"/>
    <mergeCell ref="D2:F2"/>
    <mergeCell ref="G2:I2"/>
    <mergeCell ref="M2:O2"/>
    <mergeCell ref="J2:L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DataLogin</vt:lpstr>
      <vt:lpstr>DataReport</vt:lpstr>
      <vt:lpstr>Summary</vt:lpstr>
      <vt:lpstr>Status</vt:lpstr>
      <vt:lpstr>ChangeContent</vt:lpstr>
    </vt:vector>
  </TitlesOfParts>
  <Company>Panasonic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EINSFRIANAS_Nechya</dc:creator>
  <cp:lastModifiedBy>EINSFRIANAS_Nechya</cp:lastModifiedBy>
  <dcterms:created xsi:type="dcterms:W3CDTF">2022-07-04T07:28:52Z</dcterms:created>
  <dcterms:modified xsi:type="dcterms:W3CDTF">2022-07-28T08:29:40Z</dcterms:modified>
</cp:coreProperties>
</file>